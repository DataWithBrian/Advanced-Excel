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D:\Data Science-Analayst Prep\Excel-Power BI\Project 5-Card Risk Analysis\"/>
    </mc:Choice>
  </mc:AlternateContent>
  <xr:revisionPtr revIDLastSave="0" documentId="13_ncr:1_{405C3C33-14CF-4400-9DA9-BB9B64CC630A}" xr6:coauthVersionLast="47" xr6:coauthVersionMax="47" xr10:uidLastSave="{00000000-0000-0000-0000-000000000000}"/>
  <bookViews>
    <workbookView xWindow="-108" yWindow="-108" windowWidth="23256" windowHeight="12456" firstSheet="1" activeTab="1" xr2:uid="{598303E4-FF87-4924-939F-99D735F8DEFF}"/>
  </bookViews>
  <sheets>
    <sheet name="PivotBase" sheetId="1" state="hidden" r:id="rId1"/>
    <sheet name="Overview" sheetId="6" r:id="rId2"/>
    <sheet name="Dashboard" sheetId="4" r:id="rId3"/>
    <sheet name="Detailed Summary" sheetId="5" r:id="rId4"/>
    <sheet name="Clean Dataset" sheetId="2" r:id="rId5"/>
    <sheet name="card_risk_analysis_dataset" sheetId="7" state="hidden" r:id="rId6"/>
    <sheet name="Risk Sort" sheetId="3" state="hidden" r:id="rId7"/>
  </sheets>
  <definedNames>
    <definedName name="ExternalData_1" localSheetId="4" hidden="1">'Clean Dataset'!$A$1:$J$601</definedName>
    <definedName name="Slicer_Card_Type">#N/A</definedName>
    <definedName name="Slicer_Country">#N/A</definedName>
    <definedName name="Slicer_Merchant_Type">#N/A</definedName>
    <definedName name="Slicer_Risk_Level">#N/A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_3c34a6d5-2f2f-4323-967c-e3261d399479" name="Transactions" connection="Query - Transactions"/>
          <x15:modelTable id="RiskDim_1f5ece26-7468-4346-8a3b-c2ec26d6b28d" name="RiskDim" connection="Query - RiskDim"/>
        </x15:modelTables>
        <x15:modelRelationships>
          <x15:modelRelationship fromTable="Transactions" fromColumn="Risk Level" toTable="RiskDim" toColumn="Risk Level"/>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02" i="2" l="1"/>
  <c r="B34" i="1"/>
  <c r="B35" i="1"/>
  <c r="B33" i="1"/>
  <c r="B32" i="1"/>
  <c r="B3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9AD5CB-1E97-45EC-9190-F168789F6FE0}" keepAlive="1" name="ModelConnection_ExternalData_1" description="Data Model" type="5" refreshedVersion="8" minRefreshableVersion="5" saveData="1">
    <dbPr connection="Data Model Connection" command="Transactions" commandType="3"/>
    <extLst>
      <ext xmlns:x15="http://schemas.microsoft.com/office/spreadsheetml/2010/11/main" uri="{DE250136-89BD-433C-8126-D09CA5730AF9}">
        <x15:connection id="" model="1"/>
      </ext>
    </extLst>
  </connection>
  <connection id="2" xr16:uid="{59A2299B-DF32-46E0-A0A5-B716FC87B553}" name="Query - RiskDim" description="Connection to the 'RiskDim' query in the workbook." type="100" refreshedVersion="8" minRefreshableVersion="5">
    <extLst>
      <ext xmlns:x15="http://schemas.microsoft.com/office/spreadsheetml/2010/11/main" uri="{DE250136-89BD-433C-8126-D09CA5730AF9}">
        <x15:connection id="c46a2e80-34aa-4c41-aa4e-0878ad97b84e"/>
      </ext>
    </extLst>
  </connection>
  <connection id="3" xr16:uid="{526D9F0F-8F71-4501-A673-FE96BA4BDFBB}" name="Query - Transactions" description="Connection to the 'Transactions' query in the workbook." type="100" refreshedVersion="8" minRefreshableVersion="5">
    <extLst>
      <ext xmlns:x15="http://schemas.microsoft.com/office/spreadsheetml/2010/11/main" uri="{DE250136-89BD-433C-8126-D09CA5730AF9}">
        <x15:connection id="d301f12b-9087-4ced-b190-1fe26ab10463"/>
      </ext>
    </extLst>
  </connection>
  <connection id="4" xr16:uid="{3CE5AC88-E7D7-475F-9C49-46E99010C6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<sst xmlns="http://schemas.openxmlformats.org/spreadsheetml/2006/main" count="8001" uniqueCount="817">
  <si>
    <t>Customer ID</t>
  </si>
  <si>
    <t>Card ID</t>
  </si>
  <si>
    <t>Card Type</t>
  </si>
  <si>
    <t>Amount Spent (USD)</t>
  </si>
  <si>
    <t>Transaction Count</t>
  </si>
  <si>
    <t>Country</t>
  </si>
  <si>
    <t>Merchant Type</t>
  </si>
  <si>
    <t>Risk Level</t>
  </si>
  <si>
    <t>Fraud Flag</t>
  </si>
  <si>
    <t>Fraud Label</t>
  </si>
  <si>
    <t>CUST0343</t>
  </si>
  <si>
    <t>CARD000497</t>
  </si>
  <si>
    <t>Debit</t>
  </si>
  <si>
    <t>Canada</t>
  </si>
  <si>
    <t>Grocery</t>
  </si>
  <si>
    <t>High</t>
  </si>
  <si>
    <t>No Fraud</t>
  </si>
  <si>
    <t>CUST0186</t>
  </si>
  <si>
    <t>CARD000407</t>
  </si>
  <si>
    <t>Germany</t>
  </si>
  <si>
    <t>Retail</t>
  </si>
  <si>
    <t>CUST0206</t>
  </si>
  <si>
    <t>CARD000266</t>
  </si>
  <si>
    <t>Credit</t>
  </si>
  <si>
    <t>Australia</t>
  </si>
  <si>
    <t>Travel</t>
  </si>
  <si>
    <t>CUST0503</t>
  </si>
  <si>
    <t>CARD000459</t>
  </si>
  <si>
    <t>Prepaid</t>
  </si>
  <si>
    <t>Online</t>
  </si>
  <si>
    <t>Fraud</t>
  </si>
  <si>
    <t>CUST0593</t>
  </si>
  <si>
    <t>CARD000373</t>
  </si>
  <si>
    <t>CUST0326</t>
  </si>
  <si>
    <t>CARD000136</t>
  </si>
  <si>
    <t>Charge</t>
  </si>
  <si>
    <t>India</t>
  </si>
  <si>
    <t>CUST0122</t>
  </si>
  <si>
    <t>CARD000584</t>
  </si>
  <si>
    <t>CUST0156</t>
  </si>
  <si>
    <t>CARD000187</t>
  </si>
  <si>
    <t>CUST0028</t>
  </si>
  <si>
    <t>CARD000308</t>
  </si>
  <si>
    <t>CUST0462</t>
  </si>
  <si>
    <t>CARD000197</t>
  </si>
  <si>
    <t>UK</t>
  </si>
  <si>
    <t>Electronics</t>
  </si>
  <si>
    <t>CUST0357</t>
  </si>
  <si>
    <t>CARD000052</t>
  </si>
  <si>
    <t>USA</t>
  </si>
  <si>
    <t>CUST0378</t>
  </si>
  <si>
    <t>CARD000275</t>
  </si>
  <si>
    <t>CUST0534</t>
  </si>
  <si>
    <t>CARD000257</t>
  </si>
  <si>
    <t>CUST0150</t>
  </si>
  <si>
    <t>CARD000429</t>
  </si>
  <si>
    <t>CUST0563</t>
  </si>
  <si>
    <t>CARD000056</t>
  </si>
  <si>
    <t>Dining</t>
  </si>
  <si>
    <t>CUST0321</t>
  </si>
  <si>
    <t>CUST0244</t>
  </si>
  <si>
    <t>CARD000380</t>
  </si>
  <si>
    <t>CUST0349</t>
  </si>
  <si>
    <t>CARD000322</t>
  </si>
  <si>
    <t>CUST0493</t>
  </si>
  <si>
    <t>CARD000337</t>
  </si>
  <si>
    <t>CUST0010</t>
  </si>
  <si>
    <t>CARD000501</t>
  </si>
  <si>
    <t>CUST0017</t>
  </si>
  <si>
    <t>CARD000201</t>
  </si>
  <si>
    <t>CUST0448</t>
  </si>
  <si>
    <t>CARD000418</t>
  </si>
  <si>
    <t>CUST0062</t>
  </si>
  <si>
    <t>CARD000543</t>
  </si>
  <si>
    <t>CUST0016</t>
  </si>
  <si>
    <t>CARD000284</t>
  </si>
  <si>
    <t>CUST0306</t>
  </si>
  <si>
    <t>CARD000272</t>
  </si>
  <si>
    <t>CUST0433</t>
  </si>
  <si>
    <t>CARD000332</t>
  </si>
  <si>
    <t>CUST0099</t>
  </si>
  <si>
    <t>CARD000122</t>
  </si>
  <si>
    <t>CUST0199</t>
  </si>
  <si>
    <t>CARD000406</t>
  </si>
  <si>
    <t>CUST0405</t>
  </si>
  <si>
    <t>CARD000568</t>
  </si>
  <si>
    <t>CUST0295</t>
  </si>
  <si>
    <t>CARD000038</t>
  </si>
  <si>
    <t>CUST0161</t>
  </si>
  <si>
    <t>CUST0056</t>
  </si>
  <si>
    <t>CARD000283</t>
  </si>
  <si>
    <t>CUST0580</t>
  </si>
  <si>
    <t>CARD000062</t>
  </si>
  <si>
    <t>CUST0110</t>
  </si>
  <si>
    <t>CARD000561</t>
  </si>
  <si>
    <t>CUST0598</t>
  </si>
  <si>
    <t>CARD000172</t>
  </si>
  <si>
    <t>CUST0408</t>
  </si>
  <si>
    <t>CARD000569</t>
  </si>
  <si>
    <t>CUST0058</t>
  </si>
  <si>
    <t>CARD000492</t>
  </si>
  <si>
    <t>CUST0252</t>
  </si>
  <si>
    <t>CARD000213</t>
  </si>
  <si>
    <t>CUST0376</t>
  </si>
  <si>
    <t>CARD000300</t>
  </si>
  <si>
    <t>CUST0484</t>
  </si>
  <si>
    <t>CARD000229</t>
  </si>
  <si>
    <t>CUST0546</t>
  </si>
  <si>
    <t>CARD000114</t>
  </si>
  <si>
    <t>CUST0075</t>
  </si>
  <si>
    <t>CARD000437</t>
  </si>
  <si>
    <t>CUST0331</t>
  </si>
  <si>
    <t>CARD000513</t>
  </si>
  <si>
    <t>CUST0470</t>
  </si>
  <si>
    <t>CARD000199</t>
  </si>
  <si>
    <t>CUST0113</t>
  </si>
  <si>
    <t>CARD000498</t>
  </si>
  <si>
    <t>CUST0041</t>
  </si>
  <si>
    <t>CARD000144</t>
  </si>
  <si>
    <t>CUST0358</t>
  </si>
  <si>
    <t>CARD000101</t>
  </si>
  <si>
    <t>CUST0461</t>
  </si>
  <si>
    <t>CARD000247</t>
  </si>
  <si>
    <t>CUST0297</t>
  </si>
  <si>
    <t>CARD000319</t>
  </si>
  <si>
    <t>CUST0135</t>
  </si>
  <si>
    <t>CARD000478</t>
  </si>
  <si>
    <t>CUST0212</t>
  </si>
  <si>
    <t>CARD000277</t>
  </si>
  <si>
    <t>CUST0157</t>
  </si>
  <si>
    <t>CUST0294</t>
  </si>
  <si>
    <t>CUST0588</t>
  </si>
  <si>
    <t>CARD000304</t>
  </si>
  <si>
    <t>CUST0128</t>
  </si>
  <si>
    <t>CARD000076</t>
  </si>
  <si>
    <t>CUST0450</t>
  </si>
  <si>
    <t>CUST0568</t>
  </si>
  <si>
    <t>CUST0183</t>
  </si>
  <si>
    <t>CARD000310</t>
  </si>
  <si>
    <t>CUST0283</t>
  </si>
  <si>
    <t>CARD000150</t>
  </si>
  <si>
    <t>CARD000195</t>
  </si>
  <si>
    <t>CUST0141</t>
  </si>
  <si>
    <t>CARD000188</t>
  </si>
  <si>
    <t>CUST0093</t>
  </si>
  <si>
    <t>CARD000336</t>
  </si>
  <si>
    <t>CARD000360</t>
  </si>
  <si>
    <t>CUST0308</t>
  </si>
  <si>
    <t>CARD000078</t>
  </si>
  <si>
    <t>CUST0394</t>
  </si>
  <si>
    <t>CARD000265</t>
  </si>
  <si>
    <t>CUST0554</t>
  </si>
  <si>
    <t>CARD000391</t>
  </si>
  <si>
    <t>CUST0057</t>
  </si>
  <si>
    <t>CARD000139</t>
  </si>
  <si>
    <t>CUST0393</t>
  </si>
  <si>
    <t>CARD000234</t>
  </si>
  <si>
    <t>CUST0132</t>
  </si>
  <si>
    <t>CARD000246</t>
  </si>
  <si>
    <t>CUST0437</t>
  </si>
  <si>
    <t>CARD000408</t>
  </si>
  <si>
    <t>CUST0014</t>
  </si>
  <si>
    <t>CARD000400</t>
  </si>
  <si>
    <t>CUST0333</t>
  </si>
  <si>
    <t>CARD000289</t>
  </si>
  <si>
    <t>CUST0310</t>
  </si>
  <si>
    <t>CARD000148</t>
  </si>
  <si>
    <t>CUST0512</t>
  </si>
  <si>
    <t>CARD000557</t>
  </si>
  <si>
    <t>CUST0217</t>
  </si>
  <si>
    <t>CARD000390</t>
  </si>
  <si>
    <t>CUST0350</t>
  </si>
  <si>
    <t>CARD000077</t>
  </si>
  <si>
    <t>CUST0068</t>
  </si>
  <si>
    <t>CARD000368</t>
  </si>
  <si>
    <t>CUST0290</t>
  </si>
  <si>
    <t>CARD000273</t>
  </si>
  <si>
    <t>CARD000377</t>
  </si>
  <si>
    <t>CUST0456</t>
  </si>
  <si>
    <t>CARD000248</t>
  </si>
  <si>
    <t>CUST0359</t>
  </si>
  <si>
    <t>CARD000267</t>
  </si>
  <si>
    <t>CUST0355</t>
  </si>
  <si>
    <t>CARD000386</t>
  </si>
  <si>
    <t>CUST0138</t>
  </si>
  <si>
    <t>CARD000593</t>
  </si>
  <si>
    <t>CUST0579</t>
  </si>
  <si>
    <t>CARD000590</t>
  </si>
  <si>
    <t>CARD000026</t>
  </si>
  <si>
    <t>CUST0397</t>
  </si>
  <si>
    <t>CARD000285</t>
  </si>
  <si>
    <t>CUST0419</t>
  </si>
  <si>
    <t>CARD000222</t>
  </si>
  <si>
    <t>CARD000555</t>
  </si>
  <si>
    <t>CUST0377</t>
  </si>
  <si>
    <t>CARD000349</t>
  </si>
  <si>
    <t>CUST0143</t>
  </si>
  <si>
    <t>CARD000503</t>
  </si>
  <si>
    <t>CUST0225</t>
  </si>
  <si>
    <t>CARD000217</t>
  </si>
  <si>
    <t>CUST0234</t>
  </si>
  <si>
    <t>CARD000163</t>
  </si>
  <si>
    <t>CUST0382</t>
  </si>
  <si>
    <t>CARD000415</t>
  </si>
  <si>
    <t>CARD000314</t>
  </si>
  <si>
    <t>CUST0412</t>
  </si>
  <si>
    <t>CARD000131</t>
  </si>
  <si>
    <t>CARD000565</t>
  </si>
  <si>
    <t>CUST0599</t>
  </si>
  <si>
    <t>CUST0480</t>
  </si>
  <si>
    <t>CARD000106</t>
  </si>
  <si>
    <t>CARD000059</t>
  </si>
  <si>
    <t>CUST0420</t>
  </si>
  <si>
    <t>CARD000064</t>
  </si>
  <si>
    <t>CUST0404</t>
  </si>
  <si>
    <t>CARD000253</t>
  </si>
  <si>
    <t>CUST0103</t>
  </si>
  <si>
    <t>CARD000495</t>
  </si>
  <si>
    <t>CUST0218</t>
  </si>
  <si>
    <t>CARD000045</t>
  </si>
  <si>
    <t>CUST0285</t>
  </si>
  <si>
    <t>CUST0043</t>
  </si>
  <si>
    <t>CARD000343</t>
  </si>
  <si>
    <t>CUST0124</t>
  </si>
  <si>
    <t>CUST0411</t>
  </si>
  <si>
    <t>CARD000401</t>
  </si>
  <si>
    <t>CUST0239</t>
  </si>
  <si>
    <t>CARD000525</t>
  </si>
  <si>
    <t>CUST0495</t>
  </si>
  <si>
    <t>CARD000597</t>
  </si>
  <si>
    <t>CUST0387</t>
  </si>
  <si>
    <t>CARD000138</t>
  </si>
  <si>
    <t>CARD000125</t>
  </si>
  <si>
    <t>CARD000566</t>
  </si>
  <si>
    <t>CUST0361</t>
  </si>
  <si>
    <t>CARD000292</t>
  </si>
  <si>
    <t>CUST0265</t>
  </si>
  <si>
    <t>CARD000313</t>
  </si>
  <si>
    <t>CUST0198</t>
  </si>
  <si>
    <t>CARD000252</t>
  </si>
  <si>
    <t>CUST0293</t>
  </si>
  <si>
    <t>CARD000124</t>
  </si>
  <si>
    <t>CUST0100</t>
  </si>
  <si>
    <t>CARD000074</t>
  </si>
  <si>
    <t>CUST0464</t>
  </si>
  <si>
    <t>CUST0060</t>
  </si>
  <si>
    <t>CARD000440</t>
  </si>
  <si>
    <t>CUST0427</t>
  </si>
  <si>
    <t>CARD000233</t>
  </si>
  <si>
    <t>CUST0013</t>
  </si>
  <si>
    <t>CARD000094</t>
  </si>
  <si>
    <t>CUST0344</t>
  </si>
  <si>
    <t>CUST0202</t>
  </si>
  <si>
    <t>CARD000071</t>
  </si>
  <si>
    <t>CUST0180</t>
  </si>
  <si>
    <t>CUST0136</t>
  </si>
  <si>
    <t>CARD000258</t>
  </si>
  <si>
    <t>CARD000364</t>
  </si>
  <si>
    <t>CUST0296</t>
  </si>
  <si>
    <t>CUST0144</t>
  </si>
  <si>
    <t>CARD000143</t>
  </si>
  <si>
    <t>CARD000087</t>
  </si>
  <si>
    <t>CUST0149</t>
  </si>
  <si>
    <t>CARD000055</t>
  </si>
  <si>
    <t>CUST0261</t>
  </si>
  <si>
    <t>CARD000338</t>
  </si>
  <si>
    <t>CUST0575</t>
  </si>
  <si>
    <t>CARD000238</t>
  </si>
  <si>
    <t>CUST0036</t>
  </si>
  <si>
    <t>CARD000065</t>
  </si>
  <si>
    <t>CARD000072</t>
  </si>
  <si>
    <t>CUST0303</t>
  </si>
  <si>
    <t>CARD000383</t>
  </si>
  <si>
    <t>CUST0125</t>
  </si>
  <si>
    <t>CARD000251</t>
  </si>
  <si>
    <t>CUST0329</t>
  </si>
  <si>
    <t>CARD000214</t>
  </si>
  <si>
    <t>CUST0147</t>
  </si>
  <si>
    <t>CARD000193</t>
  </si>
  <si>
    <t>CUST0102</t>
  </si>
  <si>
    <t>CARD000508</t>
  </si>
  <si>
    <t>CUST0039</t>
  </si>
  <si>
    <t>CARD000224</t>
  </si>
  <si>
    <t>CUST0509</t>
  </si>
  <si>
    <t>CARD000553</t>
  </si>
  <si>
    <t>CUST0499</t>
  </si>
  <si>
    <t>CUST0454</t>
  </si>
  <si>
    <t>CARD000356</t>
  </si>
  <si>
    <t>CUST0347</t>
  </si>
  <si>
    <t>CARD000034</t>
  </si>
  <si>
    <t>CUST0081</t>
  </si>
  <si>
    <t>CARD000502</t>
  </si>
  <si>
    <t>CUST0200</t>
  </si>
  <si>
    <t>CARD000574</t>
  </si>
  <si>
    <t>CUST0052</t>
  </si>
  <si>
    <t>CARD000268</t>
  </si>
  <si>
    <t>CUST0564</t>
  </si>
  <si>
    <t>CARD000423</t>
  </si>
  <si>
    <t>CUST0197</t>
  </si>
  <si>
    <t>CARD000142</t>
  </si>
  <si>
    <t>CUST0494</t>
  </si>
  <si>
    <t>CARD000010</t>
  </si>
  <si>
    <t>CUST0468</t>
  </si>
  <si>
    <t>CARD000351</t>
  </si>
  <si>
    <t>CUST0190</t>
  </si>
  <si>
    <t>CARD000141</t>
  </si>
  <si>
    <t>CUST0207</t>
  </si>
  <si>
    <t>CUST0255</t>
  </si>
  <si>
    <t>CARD000042</t>
  </si>
  <si>
    <t>CARD000135</t>
  </si>
  <si>
    <t>CARD000500</t>
  </si>
  <si>
    <t>CARD000203</t>
  </si>
  <si>
    <t>CUST0492</t>
  </si>
  <si>
    <t>CARD000320</t>
  </si>
  <si>
    <t>CUST0557</t>
  </si>
  <si>
    <t>CARD000359</t>
  </si>
  <si>
    <t>CUST0129</t>
  </si>
  <si>
    <t>CARD000070</t>
  </si>
  <si>
    <t>CUST0368</t>
  </si>
  <si>
    <t>CUST0232</t>
  </si>
  <si>
    <t>CUST0316</t>
  </si>
  <si>
    <t>CARD000376</t>
  </si>
  <si>
    <t>CUST0430</t>
  </si>
  <si>
    <t>CARD000249</t>
  </si>
  <si>
    <t>CUST0175</t>
  </si>
  <si>
    <t>CARD000226</t>
  </si>
  <si>
    <t>CARD000381</t>
  </si>
  <si>
    <t>CUST0177</t>
  </si>
  <si>
    <t>CARD000240</t>
  </si>
  <si>
    <t>CUST0559</t>
  </si>
  <si>
    <t>CARD000208</t>
  </si>
  <si>
    <t>CUST0078</t>
  </si>
  <si>
    <t>CUST0071</t>
  </si>
  <si>
    <t>CARD000486</t>
  </si>
  <si>
    <t>CUST0046</t>
  </si>
  <si>
    <t>CARD000435</t>
  </si>
  <si>
    <t>CARD000244</t>
  </si>
  <si>
    <t>CUST0586</t>
  </si>
  <si>
    <t>CUST0315</t>
  </si>
  <si>
    <t>CARD000591</t>
  </si>
  <si>
    <t>CUST0082</t>
  </si>
  <si>
    <t>CARD000176</t>
  </si>
  <si>
    <t>CARD000541</t>
  </si>
  <si>
    <t>CARD000358</t>
  </si>
  <si>
    <t>CUST0176</t>
  </si>
  <si>
    <t>CARD000517</t>
  </si>
  <si>
    <t>CARD000198</t>
  </si>
  <si>
    <t>CUST0210</t>
  </si>
  <si>
    <t>CARD000426</t>
  </si>
  <si>
    <t>CUST0335</t>
  </si>
  <si>
    <t>CARD000020</t>
  </si>
  <si>
    <t>CUST0530</t>
  </si>
  <si>
    <t>CARD000575</t>
  </si>
  <si>
    <t>CUST0561</t>
  </si>
  <si>
    <t>CUST0567</t>
  </si>
  <si>
    <t>CUST0249</t>
  </si>
  <si>
    <t>CUST0516</t>
  </si>
  <si>
    <t>CARD000051</t>
  </si>
  <si>
    <t>CARD000422</t>
  </si>
  <si>
    <t>CUST0553</t>
  </si>
  <si>
    <t>CARD000473</t>
  </si>
  <si>
    <t>CUST0501</t>
  </si>
  <si>
    <t>CARD000477</t>
  </si>
  <si>
    <t>CARD000365</t>
  </si>
  <si>
    <t>CUST0578</t>
  </si>
  <si>
    <t>CARD000060</t>
  </si>
  <si>
    <t>CARD000599</t>
  </si>
  <si>
    <t>CUST0262</t>
  </si>
  <si>
    <t>CARD000080</t>
  </si>
  <si>
    <t>Low</t>
  </si>
  <si>
    <t>CARD000109</t>
  </si>
  <si>
    <t>CUST0108</t>
  </si>
  <si>
    <t>CUST0286</t>
  </si>
  <si>
    <t>CARD000482</t>
  </si>
  <si>
    <t>CARD000539</t>
  </si>
  <si>
    <t>CUST0159</t>
  </si>
  <si>
    <t>CARD000061</t>
  </si>
  <si>
    <t>CARD000341</t>
  </si>
  <si>
    <t>CARD000110</t>
  </si>
  <si>
    <t>CARD000196</t>
  </si>
  <si>
    <t>CARD000169</t>
  </si>
  <si>
    <t>CARD000532</t>
  </si>
  <si>
    <t>CUST0440</t>
  </si>
  <si>
    <t>CARD000576</t>
  </si>
  <si>
    <t>CUST0279</t>
  </si>
  <si>
    <t>CARD000095</t>
  </si>
  <si>
    <t>CUST0287</t>
  </si>
  <si>
    <t>CARD000443</t>
  </si>
  <si>
    <t>CUST0435</t>
  </si>
  <si>
    <t>CARD000190</t>
  </si>
  <si>
    <t>CUST0038</t>
  </si>
  <si>
    <t>CUST0213</t>
  </si>
  <si>
    <t>CARD000544</t>
  </si>
  <si>
    <t>CUST0083</t>
  </si>
  <si>
    <t>CUST0154</t>
  </si>
  <si>
    <t>CARD000117</t>
  </si>
  <si>
    <t>CUST0403</t>
  </si>
  <si>
    <t>CARD000221</t>
  </si>
  <si>
    <t>CARD000115</t>
  </si>
  <si>
    <t>CUST0254</t>
  </si>
  <si>
    <t>CARD000276</t>
  </si>
  <si>
    <t>CUST0240</t>
  </si>
  <si>
    <t>CARD000296</t>
  </si>
  <si>
    <t>CUST0258</t>
  </si>
  <si>
    <t>CARD000582</t>
  </si>
  <si>
    <t>CUST0313</t>
  </si>
  <si>
    <t>CARD000036</t>
  </si>
  <si>
    <t>CUST0531</t>
  </si>
  <si>
    <t>CARD000424</t>
  </si>
  <si>
    <t>CUST0591</t>
  </si>
  <si>
    <t>CARD000506</t>
  </si>
  <si>
    <t>CUST0318</t>
  </si>
  <si>
    <t>CARD000282</t>
  </si>
  <si>
    <t>CARD000457</t>
  </si>
  <si>
    <t>CUST0490</t>
  </si>
  <si>
    <t>CUST0391</t>
  </si>
  <si>
    <t>CARD000485</t>
  </si>
  <si>
    <t>CUST0298</t>
  </si>
  <si>
    <t>CARD000049</t>
  </si>
  <si>
    <t>CUST0439</t>
  </si>
  <si>
    <t>CUST0510</t>
  </si>
  <si>
    <t>CUST0459</t>
  </si>
  <si>
    <t>CUST0317</t>
  </si>
  <si>
    <t>CARD000321</t>
  </si>
  <si>
    <t>CARD000241</t>
  </si>
  <si>
    <t>CUST0483</t>
  </si>
  <si>
    <t>CARD000488</t>
  </si>
  <si>
    <t>CUST0273</t>
  </si>
  <si>
    <t>CUST0127</t>
  </si>
  <si>
    <t>CARD000318</t>
  </si>
  <si>
    <t>CUST0029</t>
  </si>
  <si>
    <t>CARD000005</t>
  </si>
  <si>
    <t>CARD000207</t>
  </si>
  <si>
    <t>CARD000082</t>
  </si>
  <si>
    <t>CUST0090</t>
  </si>
  <si>
    <t>CUST0222</t>
  </si>
  <si>
    <t>CARD000560</t>
  </si>
  <si>
    <t>CUST0482</t>
  </si>
  <si>
    <t>CARD000537</t>
  </si>
  <si>
    <t>CUST0348</t>
  </si>
  <si>
    <t>CARD000035</t>
  </si>
  <si>
    <t>CUST0282</t>
  </si>
  <si>
    <t>CARD000260</t>
  </si>
  <si>
    <t>CUST0523</t>
  </si>
  <si>
    <t>CUST0451</t>
  </si>
  <si>
    <t>CARD000295</t>
  </si>
  <si>
    <t>CUST0209</t>
  </si>
  <si>
    <t>CUST0581</t>
  </si>
  <si>
    <t>CARD000434</t>
  </si>
  <si>
    <t>CARD000396</t>
  </si>
  <si>
    <t>CUST0396</t>
  </si>
  <si>
    <t>CARD000118</t>
  </si>
  <si>
    <t>CUST0241</t>
  </si>
  <si>
    <t>CUST0539</t>
  </si>
  <si>
    <t>CARD000002</t>
  </si>
  <si>
    <t>CUST0569</t>
  </si>
  <si>
    <t>CUST0381</t>
  </si>
  <si>
    <t>CARD000413</t>
  </si>
  <si>
    <t>CUST0542</t>
  </si>
  <si>
    <t>CUST0238</t>
  </si>
  <si>
    <t>CARD000175</t>
  </si>
  <si>
    <t>CUST0594</t>
  </si>
  <si>
    <t>CARD000588</t>
  </si>
  <si>
    <t>CUST0356</t>
  </si>
  <si>
    <t>CARD000107</t>
  </si>
  <si>
    <t>CUST0219</t>
  </si>
  <si>
    <t>CARD000250</t>
  </si>
  <si>
    <t>CUST0008</t>
  </si>
  <si>
    <t>CARD000472</t>
  </si>
  <si>
    <t>CUST0032</t>
  </si>
  <si>
    <t>CARD000089</t>
  </si>
  <si>
    <t>CUST0425</t>
  </si>
  <si>
    <t>CARD000556</t>
  </si>
  <si>
    <t>CUST0371</t>
  </si>
  <si>
    <t>CARD000181</t>
  </si>
  <si>
    <t>CUST0223</t>
  </si>
  <si>
    <t>CUST0044</t>
  </si>
  <si>
    <t>CARD000375</t>
  </si>
  <si>
    <t>CARD000231</t>
  </si>
  <si>
    <t>CARD000219</t>
  </si>
  <si>
    <t>CARD000329</t>
  </si>
  <si>
    <t>CARD000416</t>
  </si>
  <si>
    <t>CUST0446</t>
  </si>
  <si>
    <t>CARD000487</t>
  </si>
  <si>
    <t>CUST0203</t>
  </si>
  <si>
    <t>CARD000173</t>
  </si>
  <si>
    <t>CUST0077</t>
  </si>
  <si>
    <t>CARD000192</t>
  </si>
  <si>
    <t>CUST0049</t>
  </si>
  <si>
    <t>CARD000215</t>
  </si>
  <si>
    <t>CUST0383</t>
  </si>
  <si>
    <t>CARD000409</t>
  </si>
  <si>
    <t>CUST0045</t>
  </si>
  <si>
    <t>CARD000243</t>
  </si>
  <si>
    <t>CUST0478</t>
  </si>
  <si>
    <t>CARD000536</t>
  </si>
  <si>
    <t>CARD000324</t>
  </si>
  <si>
    <t>CARD000362</t>
  </si>
  <si>
    <t>CUST0170</t>
  </si>
  <si>
    <t>CUST0529</t>
  </si>
  <si>
    <t>CARD000567</t>
  </si>
  <si>
    <t>CUST0452</t>
  </si>
  <si>
    <t>CARD000014</t>
  </si>
  <si>
    <t>CUST0475</t>
  </si>
  <si>
    <t>CARD000293</t>
  </si>
  <si>
    <t>CUST0111</t>
  </si>
  <si>
    <t>CUST0532</t>
  </si>
  <si>
    <t>CARD000484</t>
  </si>
  <si>
    <t>CUST0120</t>
  </si>
  <si>
    <t>CARD000491</t>
  </si>
  <si>
    <t>CUST0292</t>
  </si>
  <si>
    <t>CARD000554</t>
  </si>
  <si>
    <t>CUST0204</t>
  </si>
  <si>
    <t>CARD000043</t>
  </si>
  <si>
    <t>CARD000158</t>
  </si>
  <si>
    <t>CUST0555</t>
  </si>
  <si>
    <t>CARD000069</t>
  </si>
  <si>
    <t>CARD000357</t>
  </si>
  <si>
    <t>CUST0148</t>
  </si>
  <si>
    <t>CARD000446</t>
  </si>
  <si>
    <t>CUST0242</t>
  </si>
  <si>
    <t>CARD000427</t>
  </si>
  <si>
    <t>CUST0216</t>
  </si>
  <si>
    <t>CUST0489</t>
  </si>
  <si>
    <t>CARD000200</t>
  </si>
  <si>
    <t>CUST0320</t>
  </si>
  <si>
    <t>CARD000184</t>
  </si>
  <si>
    <t>CUST0264</t>
  </si>
  <si>
    <t>CARD000441</t>
  </si>
  <si>
    <t>CUST0486</t>
  </si>
  <si>
    <t>CARD000209</t>
  </si>
  <si>
    <t>CUST0289</t>
  </si>
  <si>
    <t>CARD000372</t>
  </si>
  <si>
    <t>CARD000255</t>
  </si>
  <si>
    <t>CARD000538</t>
  </si>
  <si>
    <t>CUST0345</t>
  </si>
  <si>
    <t>CARD000529</t>
  </si>
  <si>
    <t>CUST0211</t>
  </si>
  <si>
    <t>CARD000456</t>
  </si>
  <si>
    <t>CUST0182</t>
  </si>
  <si>
    <t>CARD000053</t>
  </si>
  <si>
    <t>CUST0392</t>
  </si>
  <si>
    <t>CUST0025</t>
  </si>
  <si>
    <t>CARD000448</t>
  </si>
  <si>
    <t>CUST0094</t>
  </si>
  <si>
    <t>CARD000286</t>
  </si>
  <si>
    <t>CUST0402</t>
  </si>
  <si>
    <t>CUST0436</t>
  </si>
  <si>
    <t>CUST0095</t>
  </si>
  <si>
    <t>CARD000263</t>
  </si>
  <si>
    <t>CARD000545</t>
  </si>
  <si>
    <t>CUST0487</t>
  </si>
  <si>
    <t>CARD000174</t>
  </si>
  <si>
    <t>CARD000046</t>
  </si>
  <si>
    <t>CUST0257</t>
  </si>
  <si>
    <t>CARD000004</t>
  </si>
  <si>
    <t>CUST0541</t>
  </si>
  <si>
    <t>CARD000370</t>
  </si>
  <si>
    <t>CUST0067</t>
  </si>
  <si>
    <t>CARD000540</t>
  </si>
  <si>
    <t>CUST0139</t>
  </si>
  <si>
    <t>CUST0085</t>
  </si>
  <si>
    <t>CARD000091</t>
  </si>
  <si>
    <t>CARD000287</t>
  </si>
  <si>
    <t>CARD000290</t>
  </si>
  <si>
    <t>CUST0327</t>
  </si>
  <si>
    <t>CARD000073</t>
  </si>
  <si>
    <t>CUST0027</t>
  </si>
  <si>
    <t>CUST0417</t>
  </si>
  <si>
    <t>CARD000031</t>
  </si>
  <si>
    <t>CUST0337</t>
  </si>
  <si>
    <t>CARD000022</t>
  </si>
  <si>
    <t>CUST0340</t>
  </si>
  <si>
    <t>CARD000355</t>
  </si>
  <si>
    <t>CUST0284</t>
  </si>
  <si>
    <t>CARD000385</t>
  </si>
  <si>
    <t>CUST0065</t>
  </si>
  <si>
    <t>CARD000547</t>
  </si>
  <si>
    <t>CUST0401</t>
  </si>
  <si>
    <t>CARD000462</t>
  </si>
  <si>
    <t>CUST0153</t>
  </si>
  <si>
    <t>CARD000256</t>
  </si>
  <si>
    <t>CUST0322</t>
  </si>
  <si>
    <t>CARD000581</t>
  </si>
  <si>
    <t>CUST0498</t>
  </si>
  <si>
    <t>CARD000528</t>
  </si>
  <si>
    <t>CUST0352</t>
  </si>
  <si>
    <t>CUST0460</t>
  </si>
  <si>
    <t>CARD000352</t>
  </si>
  <si>
    <t>CARD000047</t>
  </si>
  <si>
    <t>CUST0506</t>
  </si>
  <si>
    <t>CARD000577</t>
  </si>
  <si>
    <t>CUST0428</t>
  </si>
  <si>
    <t>CARD000551</t>
  </si>
  <si>
    <t>CUST0514</t>
  </si>
  <si>
    <t>CUST0275</t>
  </si>
  <si>
    <t>CUST0034</t>
  </si>
  <si>
    <t>CARD000475</t>
  </si>
  <si>
    <t>CUST0069</t>
  </si>
  <si>
    <t>CARD000430</t>
  </si>
  <si>
    <t>CARD000469</t>
  </si>
  <si>
    <t>CUST0520</t>
  </si>
  <si>
    <t>CARD000120</t>
  </si>
  <si>
    <t>CARD000100</t>
  </si>
  <si>
    <t>CUST0121</t>
  </si>
  <si>
    <t>CARD000489</t>
  </si>
  <si>
    <t>CARD000421</t>
  </si>
  <si>
    <t>CUST0582</t>
  </si>
  <si>
    <t>CARD000388</t>
  </si>
  <si>
    <t>CUST0104</t>
  </si>
  <si>
    <t>CARD000433</t>
  </si>
  <si>
    <t>CARD000323</t>
  </si>
  <si>
    <t>CUST0263</t>
  </si>
  <si>
    <t>CARD000583</t>
  </si>
  <si>
    <t>CARD000578</t>
  </si>
  <si>
    <t>Medium</t>
  </si>
  <si>
    <t>CARD000465</t>
  </si>
  <si>
    <t>CARD000527</t>
  </si>
  <si>
    <t>CARD000151</t>
  </si>
  <si>
    <t>CUST0418</t>
  </si>
  <si>
    <t>CARD000081</t>
  </si>
  <si>
    <t>CARD000178</t>
  </si>
  <si>
    <t>CUST0227</t>
  </si>
  <si>
    <t>CUST0577</t>
  </si>
  <si>
    <t>CUST0116</t>
  </si>
  <si>
    <t>CARD000315</t>
  </si>
  <si>
    <t>CUST0074</t>
  </si>
  <si>
    <t>CARD000194</t>
  </si>
  <si>
    <t>CUST0193</t>
  </si>
  <si>
    <t>CARD000185</t>
  </si>
  <si>
    <t>CUST0168</t>
  </si>
  <si>
    <t>CARD000449</t>
  </si>
  <si>
    <t>CUST0324</t>
  </si>
  <si>
    <t>CUST0511</t>
  </si>
  <si>
    <t>CARD000128</t>
  </si>
  <si>
    <t>CARD000452</t>
  </si>
  <si>
    <t>CARD000445</t>
  </si>
  <si>
    <t>CUST0415</t>
  </si>
  <si>
    <t>CARD000030</t>
  </si>
  <si>
    <t>CUST0140</t>
  </si>
  <si>
    <t>CARD000542</t>
  </si>
  <si>
    <t>CUST0362</t>
  </si>
  <si>
    <t>CUST0372</t>
  </si>
  <si>
    <t>CARD000414</t>
  </si>
  <si>
    <t>CARD000479</t>
  </si>
  <si>
    <t>CARD000155</t>
  </si>
  <si>
    <t>CUST0072</t>
  </si>
  <si>
    <t>CARD000099</t>
  </si>
  <si>
    <t>CUST0089</t>
  </si>
  <si>
    <t>CARD000218</t>
  </si>
  <si>
    <t>CUST0188</t>
  </si>
  <si>
    <t>CARD000490</t>
  </si>
  <si>
    <t>CARD000140</t>
  </si>
  <si>
    <t>CUST0007</t>
  </si>
  <si>
    <t>CARD000572</t>
  </si>
  <si>
    <t>CUST0118</t>
  </si>
  <si>
    <t>CARD000558</t>
  </si>
  <si>
    <t>CUST0364</t>
  </si>
  <si>
    <t>CARD000432</t>
  </si>
  <si>
    <t>CUST0235</t>
  </si>
  <si>
    <t>CARD000461</t>
  </si>
  <si>
    <t>CARD000476</t>
  </si>
  <si>
    <t>CUST0221</t>
  </si>
  <si>
    <t>CARD000279</t>
  </si>
  <si>
    <t>CARD000444</t>
  </si>
  <si>
    <t>CUST0528</t>
  </si>
  <si>
    <t>CUST0314</t>
  </si>
  <si>
    <t>CARD000116</t>
  </si>
  <si>
    <t>CUST0260</t>
  </si>
  <si>
    <t>CUST0145</t>
  </si>
  <si>
    <t>CARD000425</t>
  </si>
  <si>
    <t>CARD000088</t>
  </si>
  <si>
    <t>CUST0172</t>
  </si>
  <si>
    <t>CARD000009</t>
  </si>
  <si>
    <t>CUST0410</t>
  </si>
  <si>
    <t>CUST0245</t>
  </si>
  <si>
    <t>CARD000505</t>
  </si>
  <si>
    <t>CUST0098</t>
  </si>
  <si>
    <t>CUST0091</t>
  </si>
  <si>
    <t>CARD000412</t>
  </si>
  <si>
    <t>CUST0272</t>
  </si>
  <si>
    <t>CARD000105</t>
  </si>
  <si>
    <t>CARD000395</t>
  </si>
  <si>
    <t>CUST0084</t>
  </si>
  <si>
    <t>CARD000559</t>
  </si>
  <si>
    <t>CUST0023</t>
  </si>
  <si>
    <t>CUST0374</t>
  </si>
  <si>
    <t>CARD000534</t>
  </si>
  <si>
    <t>CUST0363</t>
  </si>
  <si>
    <t>CARD000562</t>
  </si>
  <si>
    <t>CUST0011</t>
  </si>
  <si>
    <t>CUST0002</t>
  </si>
  <si>
    <t>CARD000598</t>
  </si>
  <si>
    <t>CUST0458</t>
  </si>
  <si>
    <t>CUST0299</t>
  </si>
  <si>
    <t>CARD000348</t>
  </si>
  <si>
    <t>CARD000384</t>
  </si>
  <si>
    <t>CARD000327</t>
  </si>
  <si>
    <t>CUST0133</t>
  </si>
  <si>
    <t>CUST0471</t>
  </si>
  <si>
    <t>CARD000298</t>
  </si>
  <si>
    <t>CARD000371</t>
  </si>
  <si>
    <t>CUST0243</t>
  </si>
  <si>
    <t>CARD000306</t>
  </si>
  <si>
    <t>CUST0277</t>
  </si>
  <si>
    <t>CUST0288</t>
  </si>
  <si>
    <t>CARD000145</t>
  </si>
  <si>
    <t>CUST0342</t>
  </si>
  <si>
    <t>CUST0194</t>
  </si>
  <si>
    <t>CARD000521</t>
  </si>
  <si>
    <t>CUST0388</t>
  </si>
  <si>
    <t>CARD000587</t>
  </si>
  <si>
    <t>CUST0497</t>
  </si>
  <si>
    <t>CARD000397</t>
  </si>
  <si>
    <t>CUST0560</t>
  </si>
  <si>
    <t>CARD000550</t>
  </si>
  <si>
    <t>CUST0158</t>
  </si>
  <si>
    <t>CARD000309</t>
  </si>
  <si>
    <t>CUST0280</t>
  </si>
  <si>
    <t>CARD000180</t>
  </si>
  <si>
    <t>CUST0519</t>
  </si>
  <si>
    <t>CARD000353</t>
  </si>
  <si>
    <t>CARD000520</t>
  </si>
  <si>
    <t>CUST0449</t>
  </si>
  <si>
    <t>CARD000152</t>
  </si>
  <si>
    <t>CUST0169</t>
  </si>
  <si>
    <t>CARD000580</t>
  </si>
  <si>
    <t>CARD000098</t>
  </si>
  <si>
    <t>CUST0155</t>
  </si>
  <si>
    <t>CUST0233</t>
  </si>
  <si>
    <t>CARD000579</t>
  </si>
  <si>
    <t>CUST0003</t>
  </si>
  <si>
    <t>CUST0505</t>
  </si>
  <si>
    <t>CARD000068</t>
  </si>
  <si>
    <t>CARD000079</t>
  </si>
  <si>
    <t>CARD000083</t>
  </si>
  <si>
    <t>CUST0488</t>
  </si>
  <si>
    <t>CARD000028</t>
  </si>
  <si>
    <t>CUST0266</t>
  </si>
  <si>
    <t>CUST0051</t>
  </si>
  <si>
    <t>CARD000493</t>
  </si>
  <si>
    <t>CARD000177</t>
  </si>
  <si>
    <t>CARD000524</t>
  </si>
  <si>
    <t>CUST0137</t>
  </si>
  <si>
    <t>CARD000480</t>
  </si>
  <si>
    <t>CUST0105</t>
  </si>
  <si>
    <t>CARD000499</t>
  </si>
  <si>
    <t>CARD000331</t>
  </si>
  <si>
    <t>CUST0442</t>
  </si>
  <si>
    <t>CARD000483</t>
  </si>
  <si>
    <t>CUST0079</t>
  </si>
  <si>
    <t>CUST0584</t>
  </si>
  <si>
    <t>CARD000003</t>
  </si>
  <si>
    <t>CUST0184</t>
  </si>
  <si>
    <t>CARD000191</t>
  </si>
  <si>
    <t>CARD000464</t>
  </si>
  <si>
    <t>CARD000516</t>
  </si>
  <si>
    <t>CUST0572</t>
  </si>
  <si>
    <t>CARD000467</t>
  </si>
  <si>
    <t>CUST0162</t>
  </si>
  <si>
    <t>CARD000394</t>
  </si>
  <si>
    <t>CARD000530</t>
  </si>
  <si>
    <t>CUST0097</t>
  </si>
  <si>
    <t>CUST0251</t>
  </si>
  <si>
    <t>CARD000330</t>
  </si>
  <si>
    <t>CARD000325</t>
  </si>
  <si>
    <t>CARD000271</t>
  </si>
  <si>
    <t>CARD000333</t>
  </si>
  <si>
    <t>CUST0508</t>
  </si>
  <si>
    <t>CARD000204</t>
  </si>
  <si>
    <t>CUST0174</t>
  </si>
  <si>
    <t>CARD000347</t>
  </si>
  <si>
    <t>CUST0596</t>
  </si>
  <si>
    <t>CARD000301</t>
  </si>
  <si>
    <t>CARD000592</t>
  </si>
  <si>
    <t>CARD000027</t>
  </si>
  <si>
    <t>CARD000389</t>
  </si>
  <si>
    <t>CARD000274</t>
  </si>
  <si>
    <t>CARD000511</t>
  </si>
  <si>
    <t>CUST0117</t>
  </si>
  <si>
    <t>CUST0444</t>
  </si>
  <si>
    <t>CARD000600</t>
  </si>
  <si>
    <t>CUST0087</t>
  </si>
  <si>
    <t>CARD000458</t>
  </si>
  <si>
    <t>CUST0507</t>
  </si>
  <si>
    <t>CARD000075</t>
  </si>
  <si>
    <t>CUST0076</t>
  </si>
  <si>
    <t>CARD000311</t>
  </si>
  <si>
    <t>CUST0395</t>
  </si>
  <si>
    <t>CARD000264</t>
  </si>
  <si>
    <t>CUST0548</t>
  </si>
  <si>
    <t>CUST0061</t>
  </si>
  <si>
    <t>Row Labels</t>
  </si>
  <si>
    <t>Grand Total</t>
  </si>
  <si>
    <t>Fraud Rate %</t>
  </si>
  <si>
    <t>Fraud Txns</t>
  </si>
  <si>
    <t>Cum % Fraud (Merchant)</t>
  </si>
  <si>
    <t>Pareto Target 80%</t>
  </si>
  <si>
    <t>Risk Sort</t>
  </si>
  <si>
    <t>KPIS</t>
  </si>
  <si>
    <t>High-Risk %</t>
  </si>
  <si>
    <t>Relative Risk %</t>
  </si>
  <si>
    <t>Portfolio Fraud Rate</t>
  </si>
  <si>
    <t>Fraud Rate by Risk Level (per Card Type)</t>
  </si>
  <si>
    <t>Total Txn Count</t>
  </si>
  <si>
    <t>Grand Total shows the fraud rate for each risk level across all card types (e.g., High = 54.5% of transactions were fraudulent).</t>
  </si>
  <si>
    <t>Fraud Rate by Merchant Type and Card Type</t>
  </si>
  <si>
    <t>Fraud Rate by Country and Card Type</t>
  </si>
  <si>
    <t>Transaction Risk Level</t>
  </si>
  <si>
    <t>Fraud Rate by Country and Risk Level</t>
  </si>
  <si>
    <t>Fraud % = fraudulent transactions ÷ total transactions. Red = above portfolio baseline (50.3%).</t>
  </si>
  <si>
    <t>total txn count</t>
  </si>
  <si>
    <t>fraud txns</t>
  </si>
  <si>
    <t>fraud rate</t>
  </si>
  <si>
    <t>High risk %</t>
  </si>
  <si>
    <t>relative risk</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</si>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</sst>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0%"/>
    <numFmt numFmtId="165" formatCode="0.0%;\-0.0%;0.0%"/>
    <numFmt numFmtId="166" formatCode="0.0%"/>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b/>
      <i/>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right/>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34">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1" fontId="0" fillId="0" borderId="0" xfId="0" applyNumberFormat="1" applyAlignment="1">
      <alignment vertical="center" wrapText="1"/>
    </xf>
    <xf numFmtId="166" fontId="0" fillId="0" borderId="0" xfId="1" applyNumberFormat="1" applyFont="1"/>
    <xf numFmtId="0" fontId="0" fillId="0" borderId="1" xfId="0" applyBorder="1"/>
    <xf numFmtId="0" fontId="3" fillId="0" borderId="0" xfId="0" applyFont="1"/>
    <xf numFmtId="0" fontId="4" fillId="0" borderId="0" xfId="0" applyFont="1" applyAlignment="1">
      <alignment horizontal="center"/>
    </xf>
    <xf numFmtId="0" fontId="4" fillId="0" borderId="0" xfId="0" applyFont="1"/>
    <xf numFmtId="166" fontId="2" fillId="0" borderId="0" xfId="1" applyNumberFormat="1" applyFont="1" applyBorder="1"/>
    <xf numFmtId="43" fontId="0" fillId="0" borderId="0" xfId="2" applyFont="1"/>
    <xf numFmtId="0" fontId="5" fillId="0" borderId="0" xfId="0" applyFont="1"/>
    <xf numFmtId="0" fontId="5" fillId="2" borderId="0" xfId="0" applyFont="1" applyFill="1"/>
    <xf numFmtId="164" fontId="3" fillId="0" borderId="0" xfId="0" applyNumberFormat="1" applyFont="1" applyAlignment="1">
      <alignment horizontal="center"/>
    </xf>
    <xf numFmtId="0" fontId="0" fillId="0" borderId="2" xfId="0" pivotButton="1" applyBorder="1"/>
    <xf numFmtId="0" fontId="0" fillId="0" borderId="2" xfId="0" applyBorder="1"/>
    <xf numFmtId="0" fontId="0" fillId="0" borderId="2" xfId="0" applyBorder="1" applyAlignment="1">
      <alignment horizontal="left"/>
    </xf>
    <xf numFmtId="164" fontId="0" fillId="0" borderId="2" xfId="0" applyNumberFormat="1" applyBorder="1"/>
    <xf numFmtId="1" fontId="0" fillId="0" borderId="2" xfId="0" applyNumberFormat="1"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8" xfId="0" applyBorder="1"/>
    <xf numFmtId="0" fontId="0" fillId="0" borderId="6" xfId="0" applyBorder="1"/>
    <xf numFmtId="0" fontId="2" fillId="0" borderId="0" xfId="0" applyFont="1" applyAlignment="1">
      <alignment horizontal="center" textRotation="90"/>
    </xf>
    <xf numFmtId="0" fontId="2" fillId="0" borderId="0" xfId="0" applyFont="1" applyAlignment="1">
      <alignment horizontal="center"/>
    </xf>
    <xf numFmtId="0" fontId="2" fillId="2" borderId="0" xfId="0" applyFont="1" applyFill="1" applyAlignment="1">
      <alignment horizontal="center"/>
    </xf>
    <xf numFmtId="0" fontId="5" fillId="0" borderId="0" xfId="0" applyFont="1" applyAlignment="1">
      <alignment horizontal="center" wrapText="1"/>
    </xf>
  </cellXfs>
  <cellStyles count="3">
    <cellStyle name="Comma" xfId="2" builtinId="3"/>
    <cellStyle name="Normal" xfId="0" builtinId="0"/>
    <cellStyle name="Percent" xfId="1" builtinId="5"/>
  </cellStyles>
  <dxfs count="78">
    <dxf>
      <numFmt numFmtId="1" formatCode="0"/>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font>
        <sz val="10"/>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4.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1.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3.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3.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[Brian-Card Risk Analysis Project.xlsx]PivotBase!Merchant Fraud</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Cumulative Fraud Share by Merchant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12700" cap="rnd">
            <a:solidFill>
              <a:schemeClr val="bg1">
                <a:lumMod val="50000"/>
              </a:schemeClr>
            </a:solidFill>
            <a:prstDash val="sysDash"/>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9E-3"/>
              <c:y val="0.1444677748614755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12700" cap="rnd">
            <a:solidFill>
              <a:schemeClr val="bg1">
                <a:lumMod val="50000"/>
              </a:schemeClr>
            </a:solidFill>
            <a:prstDash val="sysDash"/>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2700" cap="rnd">
            <a:solidFill>
              <a:schemeClr val="bg1">
                <a:lumMod val="50000"/>
              </a:schemeClr>
            </a:solidFill>
            <a:prstDash val="sysDash"/>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12700" cap="rnd">
            <a:solidFill>
              <a:schemeClr val="bg1">
                <a:lumMod val="50000"/>
              </a:schemeClr>
            </a:solidFill>
            <a:prstDash val="sysDash"/>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12700" cap="rnd">
            <a:solidFill>
              <a:schemeClr val="bg1">
                <a:lumMod val="50000"/>
              </a:schemeClr>
            </a:solidFill>
            <a:prstDash val="sysDash"/>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2700" cap="rnd">
            <a:solidFill>
              <a:schemeClr val="bg1">
                <a:lumMod val="50000"/>
              </a:schemeClr>
            </a:solidFill>
            <a:prstDash val="sysDash"/>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ln w="2222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1"/>
        <c:spPr>
          <a:ln w="2222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2"/>
        <c:spPr>
          <a:ln w="2222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3"/>
        <c:spPr>
          <a:ln w="2222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ln w="2222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5"/>
        <c:spPr>
          <a:ln w="12700" cap="rnd">
            <a:solidFill>
              <a:schemeClr val="bg1">
                <a:lumMod val="50000"/>
              </a:schemeClr>
            </a:solidFill>
            <a:prstDash val="sysDash"/>
            <a:round/>
          </a:ln>
          <a:effectLst/>
        </c:spPr>
        <c:marker>
          <c:symbol val="none"/>
        </c:marker>
        <c:dLbl>
          <c:idx val="0"/>
          <c:layout>
            <c:manualLayout>
              <c:x val="0.30833333333333324"/>
              <c:y val="-4.6296296296296294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PivotBase!$I$1</c:f>
              <c:strCache>
                <c:ptCount val="1"/>
                <c:pt idx="0">
                  <c:v>Fraud Txns</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4-20EE-47F5-9489-60360D838FBB}"/>
              </c:ext>
            </c:extLst>
          </c:dPt>
          <c:dPt>
            <c:idx val="4"/>
            <c:invertIfNegative val="0"/>
            <c:bubble3D val="0"/>
            <c:extLst>
              <c:ext xmlns:c16="http://schemas.microsoft.com/office/drawing/2014/chart" uri="{C3380CC4-5D6E-409C-BE32-E72D297353CC}">
                <c16:uniqueId val="{00000001-20F1-4E33-9DA2-9B35BFE57BA4}"/>
              </c:ext>
            </c:extLst>
          </c:dPt>
          <c:dLbls>
            <c:dLbl>
              <c:idx val="4"/>
              <c:layout>
                <c:manualLayout>
                  <c:x val="2.7777777777777779E-3"/>
                  <c:y val="0.1444677748614755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F1-4E33-9DA2-9B35BFE57BA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PivotBase!$H$2:$H$8</c:f>
              <c:strCache>
                <c:ptCount val="6"/>
                <c:pt idx="0">
                  <c:v>Dining</c:v>
                </c:pt>
                <c:pt idx="1">
                  <c:v>Grocery</c:v>
                </c:pt>
                <c:pt idx="2">
                  <c:v>Travel</c:v>
                </c:pt>
                <c:pt idx="3">
                  <c:v>Electronics</c:v>
                </c:pt>
                <c:pt idx="4">
                  <c:v>Online</c:v>
                </c:pt>
                <c:pt idx="5">
                  <c:v>Retail</c:v>
                </c:pt>
              </c:strCache>
            </c:strRef>
          </c:cat>
          <c:val>
            <c:numRef>
              <c:f>PivotBase!$I$2:$I$8</c:f>
              <c:numCache>
                <c:formatCode>0</c:formatCode>
                <c:ptCount val="6"/>
                <c:pt idx="0">
                  <c:v>1590</c:v>
                </c:pt>
                <c:pt idx="1">
                  <c:v>1402</c:v>
                </c:pt>
                <c:pt idx="2">
                  <c:v>1259</c:v>
                </c:pt>
                <c:pt idx="3">
                  <c:v>1220</c:v>
                </c:pt>
                <c:pt idx="4">
                  <c:v>1097</c:v>
                </c:pt>
                <c:pt idx="5">
                  <c:v>1078</c:v>
                </c:pt>
              </c:numCache>
            </c:numRef>
          </c:val>
          <c:extLst>
            <c:ext xmlns:c16="http://schemas.microsoft.com/office/drawing/2014/chart" uri="{C3380CC4-5D6E-409C-BE32-E72D297353CC}">
              <c16:uniqueId val="{00000000-20EE-47F5-9489-60360D838FBB}"/>
            </c:ext>
          </c:extLst>
        </c:ser>
        <c:dLbls>
          <c:showLegendKey val="0"/>
          <c:showVal val="0"/>
          <c:showCatName val="0"/>
          <c:showSerName val="0"/>
          <c:showPercent val="0"/>
          <c:showBubbleSize val="0"/>
        </c:dLbls>
        <c:gapWidth val="80"/>
        <c:overlap val="-27"/>
        <c:axId val="1997827280"/>
        <c:axId val="1997828720"/>
      </c:barChart>
      <c:lineChart>
        <c:grouping val="standard"/>
        <c:varyColors val="0"/>
        <c:ser>
          <c:idx val="1"/>
          <c:order val="1"/>
          <c:tx>
            <c:strRef>
              <c:f>PivotBase!$J$1</c:f>
              <c:strCache>
                <c:ptCount val="1"/>
                <c:pt idx="0">
                  <c:v>Cum % Fraud (Merchant)</c:v>
                </c:pt>
              </c:strCache>
            </c:strRef>
          </c:tx>
          <c:spPr>
            <a:ln w="22225" cap="rnd">
              <a:solidFill>
                <a:schemeClr val="accent2"/>
              </a:solidFill>
              <a:round/>
            </a:ln>
            <a:effectLst/>
          </c:spPr>
          <c:marker>
            <c:symbol val="circle"/>
            <c:size val="5"/>
            <c:spPr>
              <a:solidFill>
                <a:schemeClr val="accent2"/>
              </a:solidFill>
              <a:ln w="9525">
                <a:solidFill>
                  <a:schemeClr val="accent2"/>
                </a:solidFill>
              </a:ln>
              <a:effectLst/>
            </c:spPr>
          </c:marker>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E-20EE-47F5-9489-60360D838FBB}"/>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A-20EE-47F5-9489-60360D838FBB}"/>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B-20EE-47F5-9489-60360D838FBB}"/>
              </c:ext>
            </c:extLst>
          </c:dPt>
          <c:dPt>
            <c:idx val="4"/>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5-20F1-4E33-9DA2-9B35BFE57BA4}"/>
              </c:ext>
            </c:extLst>
          </c:dPt>
          <c:dPt>
            <c:idx val="5"/>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C-20EE-47F5-9489-60360D838FB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PivotBase!$H$2:$H$8</c:f>
              <c:strCache>
                <c:ptCount val="6"/>
                <c:pt idx="0">
                  <c:v>Dining</c:v>
                </c:pt>
                <c:pt idx="1">
                  <c:v>Grocery</c:v>
                </c:pt>
                <c:pt idx="2">
                  <c:v>Travel</c:v>
                </c:pt>
                <c:pt idx="3">
                  <c:v>Electronics</c:v>
                </c:pt>
                <c:pt idx="4">
                  <c:v>Online</c:v>
                </c:pt>
                <c:pt idx="5">
                  <c:v>Retail</c:v>
                </c:pt>
              </c:strCache>
            </c:strRef>
          </c:cat>
          <c:val>
            <c:numRef>
              <c:f>PivotBase!$J$2:$J$8</c:f>
              <c:numCache>
                <c:formatCode>0.0%;\-0.0%;0.0%</c:formatCode>
                <c:ptCount val="6"/>
                <c:pt idx="0">
                  <c:v>0.20795187025895892</c:v>
                </c:pt>
                <c:pt idx="1">
                  <c:v>0.39131572063824221</c:v>
                </c:pt>
                <c:pt idx="2">
                  <c:v>0.55597698142819774</c:v>
                </c:pt>
                <c:pt idx="3">
                  <c:v>0.71553753596651848</c:v>
                </c:pt>
                <c:pt idx="4">
                  <c:v>0.8590112477112215</c:v>
                </c:pt>
                <c:pt idx="5">
                  <c:v>1</c:v>
                </c:pt>
              </c:numCache>
            </c:numRef>
          </c:val>
          <c:smooth val="0"/>
          <c:extLst>
            <c:ext xmlns:c16="http://schemas.microsoft.com/office/drawing/2014/chart" uri="{C3380CC4-5D6E-409C-BE32-E72D297353CC}">
              <c16:uniqueId val="{00000001-20EE-47F5-9489-60360D838FBB}"/>
            </c:ext>
          </c:extLst>
        </c:ser>
        <c:ser>
          <c:idx val="2"/>
          <c:order val="2"/>
          <c:tx>
            <c:strRef>
              <c:f>PivotBase!$K$1</c:f>
              <c:strCache>
                <c:ptCount val="1"/>
                <c:pt idx="0">
                  <c:v>Pareto Target 80%</c:v>
                </c:pt>
              </c:strCache>
            </c:strRef>
          </c:tx>
          <c:spPr>
            <a:ln w="12700" cap="rnd">
              <a:solidFill>
                <a:schemeClr val="bg1">
                  <a:lumMod val="50000"/>
                </a:schemeClr>
              </a:solidFill>
              <a:prstDash val="sysDash"/>
              <a:round/>
            </a:ln>
            <a:effectLst/>
          </c:spPr>
          <c:marker>
            <c:symbol val="none"/>
          </c:marker>
          <c:dPt>
            <c:idx val="0"/>
            <c:marker>
              <c:symbol val="none"/>
            </c:marker>
            <c:bubble3D val="0"/>
            <c:extLst>
              <c:ext xmlns:c16="http://schemas.microsoft.com/office/drawing/2014/chart" uri="{C3380CC4-5D6E-409C-BE32-E72D297353CC}">
                <c16:uniqueId val="{00000009-20EE-47F5-9489-60360D838FBB}"/>
              </c:ext>
            </c:extLst>
          </c:dPt>
          <c:dPt>
            <c:idx val="1"/>
            <c:marker>
              <c:symbol val="none"/>
            </c:marker>
            <c:bubble3D val="0"/>
            <c:extLst>
              <c:ext xmlns:c16="http://schemas.microsoft.com/office/drawing/2014/chart" uri="{C3380CC4-5D6E-409C-BE32-E72D297353CC}">
                <c16:uniqueId val="{00000008-20EE-47F5-9489-60360D838FBB}"/>
              </c:ext>
            </c:extLst>
          </c:dPt>
          <c:dPt>
            <c:idx val="2"/>
            <c:marker>
              <c:symbol val="none"/>
            </c:marker>
            <c:bubble3D val="0"/>
            <c:extLst>
              <c:ext xmlns:c16="http://schemas.microsoft.com/office/drawing/2014/chart" uri="{C3380CC4-5D6E-409C-BE32-E72D297353CC}">
                <c16:uniqueId val="{00000007-20EE-47F5-9489-60360D838FBB}"/>
              </c:ext>
            </c:extLst>
          </c:dPt>
          <c:dPt>
            <c:idx val="3"/>
            <c:marker>
              <c:symbol val="none"/>
            </c:marker>
            <c:bubble3D val="0"/>
            <c:extLst>
              <c:ext xmlns:c16="http://schemas.microsoft.com/office/drawing/2014/chart" uri="{C3380CC4-5D6E-409C-BE32-E72D297353CC}">
                <c16:uniqueId val="{00000006-20EE-47F5-9489-60360D838FBB}"/>
              </c:ext>
            </c:extLst>
          </c:dPt>
          <c:dPt>
            <c:idx val="4"/>
            <c:marker>
              <c:symbol val="none"/>
            </c:marker>
            <c:bubble3D val="0"/>
            <c:extLst>
              <c:ext xmlns:c16="http://schemas.microsoft.com/office/drawing/2014/chart" uri="{C3380CC4-5D6E-409C-BE32-E72D297353CC}">
                <c16:uniqueId val="{00000005-20EE-47F5-9489-60360D838FBB}"/>
              </c:ext>
            </c:extLst>
          </c:dPt>
          <c:dPt>
            <c:idx val="5"/>
            <c:marker>
              <c:symbol val="none"/>
            </c:marker>
            <c:bubble3D val="0"/>
            <c:extLst>
              <c:ext xmlns:c16="http://schemas.microsoft.com/office/drawing/2014/chart" uri="{C3380CC4-5D6E-409C-BE32-E72D297353CC}">
                <c16:uniqueId val="{0000000A-9FC9-4E71-B3C6-62ABC1F8628B}"/>
              </c:ext>
            </c:extLst>
          </c:dPt>
          <c:dLbls>
            <c:dLbl>
              <c:idx val="0"/>
              <c:delete val="1"/>
              <c:extLst>
                <c:ext xmlns:c15="http://schemas.microsoft.com/office/drawing/2012/chart" uri="{CE6537A1-D6FC-4f65-9D91-7224C49458BB}"/>
                <c:ext xmlns:c16="http://schemas.microsoft.com/office/drawing/2014/chart" uri="{C3380CC4-5D6E-409C-BE32-E72D297353CC}">
                  <c16:uniqueId val="{00000009-20EE-47F5-9489-60360D838FBB}"/>
                </c:ext>
              </c:extLst>
            </c:dLbl>
            <c:dLbl>
              <c:idx val="1"/>
              <c:delete val="1"/>
              <c:extLst>
                <c:ext xmlns:c15="http://schemas.microsoft.com/office/drawing/2012/chart" uri="{CE6537A1-D6FC-4f65-9D91-7224C49458BB}"/>
                <c:ext xmlns:c16="http://schemas.microsoft.com/office/drawing/2014/chart" uri="{C3380CC4-5D6E-409C-BE32-E72D297353CC}">
                  <c16:uniqueId val="{00000008-20EE-47F5-9489-60360D838FBB}"/>
                </c:ext>
              </c:extLst>
            </c:dLbl>
            <c:dLbl>
              <c:idx val="2"/>
              <c:delete val="1"/>
              <c:extLst>
                <c:ext xmlns:c15="http://schemas.microsoft.com/office/drawing/2012/chart" uri="{CE6537A1-D6FC-4f65-9D91-7224C49458BB}"/>
                <c:ext xmlns:c16="http://schemas.microsoft.com/office/drawing/2014/chart" uri="{C3380CC4-5D6E-409C-BE32-E72D297353CC}">
                  <c16:uniqueId val="{00000007-20EE-47F5-9489-60360D838FBB}"/>
                </c:ext>
              </c:extLst>
            </c:dLbl>
            <c:dLbl>
              <c:idx val="3"/>
              <c:layout>
                <c:manualLayout>
                  <c:x val="0.30833333333333324"/>
                  <c:y val="-4.6296296296296294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EE-47F5-9489-60360D838FBB}"/>
                </c:ext>
              </c:extLst>
            </c:dLbl>
            <c:dLbl>
              <c:idx val="4"/>
              <c:delete val="1"/>
              <c:extLst>
                <c:ext xmlns:c15="http://schemas.microsoft.com/office/drawing/2012/chart" uri="{CE6537A1-D6FC-4f65-9D91-7224C49458BB}"/>
                <c:ext xmlns:c16="http://schemas.microsoft.com/office/drawing/2014/chart" uri="{C3380CC4-5D6E-409C-BE32-E72D297353CC}">
                  <c16:uniqueId val="{00000005-20EE-47F5-9489-60360D838FBB}"/>
                </c:ext>
              </c:extLst>
            </c:dLbl>
            <c:dLbl>
              <c:idx val="5"/>
              <c:delete val="1"/>
              <c:extLst>
                <c:ext xmlns:c15="http://schemas.microsoft.com/office/drawing/2012/chart" uri="{CE6537A1-D6FC-4f65-9D91-7224C49458BB}"/>
                <c:ext xmlns:c16="http://schemas.microsoft.com/office/drawing/2014/chart" uri="{C3380CC4-5D6E-409C-BE32-E72D297353CC}">
                  <c16:uniqueId val="{0000000A-9FC9-4E71-B3C6-62ABC1F8628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PivotBase!$H$2:$H$8</c:f>
              <c:strCache>
                <c:ptCount val="6"/>
                <c:pt idx="0">
                  <c:v>Dining</c:v>
                </c:pt>
                <c:pt idx="1">
                  <c:v>Grocery</c:v>
                </c:pt>
                <c:pt idx="2">
                  <c:v>Travel</c:v>
                </c:pt>
                <c:pt idx="3">
                  <c:v>Electronics</c:v>
                </c:pt>
                <c:pt idx="4">
                  <c:v>Online</c:v>
                </c:pt>
                <c:pt idx="5">
                  <c:v>Retail</c:v>
                </c:pt>
              </c:strCache>
            </c:strRef>
          </c:cat>
          <c:val>
            <c:numRef>
              <c:f>PivotBase!$K$2:$K$8</c:f>
              <c:numCache>
                <c:formatCode>General</c:formatCode>
                <c:ptCount val="6"/>
                <c:pt idx="0">
                  <c:v>0.8</c:v>
                </c:pt>
                <c:pt idx="1">
                  <c:v>0.8</c:v>
                </c:pt>
                <c:pt idx="2">
                  <c:v>0.8</c:v>
                </c:pt>
                <c:pt idx="3">
                  <c:v>0.8</c:v>
                </c:pt>
                <c:pt idx="4">
                  <c:v>0.8</c:v>
                </c:pt>
                <c:pt idx="5">
                  <c:v>0.8</c:v>
                </c:pt>
              </c:numCache>
            </c:numRef>
          </c:val>
          <c:smooth val="0"/>
          <c:extLst>
            <c:ext xmlns:c16="http://schemas.microsoft.com/office/drawing/2014/chart" uri="{C3380CC4-5D6E-409C-BE32-E72D297353CC}">
              <c16:uniqueId val="{00000002-20EE-47F5-9489-60360D838FBB}"/>
            </c:ext>
          </c:extLst>
        </c:ser>
        <c:dLbls>
          <c:showLegendKey val="0"/>
          <c:showVal val="0"/>
          <c:showCatName val="0"/>
          <c:showSerName val="0"/>
          <c:showPercent val="0"/>
          <c:showBubbleSize val="0"/>
        </c:dLbls>
        <c:marker val="1"/>
        <c:smooth val="0"/>
        <c:axId val="1997830640"/>
        <c:axId val="1997832560"/>
      </c:lineChart>
      <c:catAx>
        <c:axId val="199782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7828720"/>
        <c:crosses val="autoZero"/>
        <c:auto val="1"/>
        <c:lblAlgn val="ctr"/>
        <c:lblOffset val="100"/>
        <c:noMultiLvlLbl val="0"/>
      </c:catAx>
      <c:valAx>
        <c:axId val="1997828720"/>
        <c:scaling>
          <c:orientation val="minMax"/>
        </c:scaling>
        <c:delete val="0"/>
        <c:axPos val="l"/>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827280"/>
        <c:crosses val="autoZero"/>
        <c:crossBetween val="between"/>
      </c:valAx>
      <c:valAx>
        <c:axId val="1997832560"/>
        <c:scaling>
          <c:orientation val="minMax"/>
          <c:max val="1"/>
        </c:scaling>
        <c:delete val="0"/>
        <c:axPos val="r"/>
        <c:numFmt formatCode="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830640"/>
        <c:crosses val="max"/>
        <c:crossBetween val="between"/>
        <c:majorUnit val="0.2"/>
      </c:valAx>
      <c:catAx>
        <c:axId val="1997830640"/>
        <c:scaling>
          <c:orientation val="minMax"/>
        </c:scaling>
        <c:delete val="1"/>
        <c:axPos val="b"/>
        <c:numFmt formatCode="General" sourceLinked="1"/>
        <c:majorTickMark val="out"/>
        <c:minorTickMark val="none"/>
        <c:tickLblPos val="nextTo"/>
        <c:crossAx val="199783256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[Brian-Card Risk Analysis Project.xlsx]PivotBase!Country Fraud</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Fraud Rate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PivotBase!$N$1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PivotBase!$M$2:$M$8</c:f>
              <c:strCache>
                <c:ptCount val="6"/>
                <c:pt idx="0">
                  <c:v>Canada</c:v>
                </c:pt>
                <c:pt idx="1">
                  <c:v>UK</c:v>
                </c:pt>
                <c:pt idx="2">
                  <c:v>USA</c:v>
                </c:pt>
                <c:pt idx="3">
                  <c:v>Germany</c:v>
                </c:pt>
                <c:pt idx="4">
                  <c:v>India</c:v>
                </c:pt>
                <c:pt idx="5">
                  <c:v>Australia</c:v>
                </c:pt>
              </c:strCache>
            </c:strRef>
          </c:cat>
          <c:val>
            <c:numRef>
              <c:f>PivotBase!$N$2:$N$8</c:f>
              <c:numCache>
                <c:formatCode>#,##0.0%;\-#,##0.0%;#,##0.0%</c:formatCode>
                <c:ptCount val="6"/>
                <c:pt idx="0">
                  <c:v>0.47256317689530686</c:v>
                </c:pt>
                <c:pt idx="1">
                  <c:v>0.48292486942547208</c:v>
                </c:pt>
                <c:pt idx="2">
                  <c:v>0.48940196820590459</c:v>
                </c:pt>
                <c:pt idx="3">
                  <c:v>0.50567465321563687</c:v>
                </c:pt>
                <c:pt idx="4">
                  <c:v>0.52722287504896204</c:v>
                </c:pt>
                <c:pt idx="5">
                  <c:v>0.5462610899873257</c:v>
                </c:pt>
              </c:numCache>
            </c:numRef>
          </c:val>
          <c:extLst>
            <c:ext xmlns:c16="http://schemas.microsoft.com/office/drawing/2014/chart" uri="{C3380CC4-5D6E-409C-BE32-E72D297353CC}">
              <c16:uniqueId val="{00000000-E304-4514-B670-C2E7E1EF14C7}"/>
            </c:ext>
          </c:extLst>
        </c:ser>
        <c:dLbls>
          <c:dLblPos val="outEnd"/>
          <c:showLegendKey val="0"/>
          <c:showVal val="1"/>
          <c:showCatName val="0"/>
          <c:showSerName val="0"/>
          <c:showPercent val="0"/>
          <c:showBubbleSize val="0"/>
        </c:dLbls>
        <c:gapWidth val="80"/>
        <c:axId val="1997809520"/>
        <c:axId val="1997816240"/>
      </c:barChart>
      <c:catAx>
        <c:axId val="199780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97816240"/>
        <c:crosses val="autoZero"/>
        <c:auto val="1"/>
        <c:lblAlgn val="ctr"/>
        <c:lblOffset val="100"/>
        <c:noMultiLvlLbl val="0"/>
      </c:catAx>
      <c:valAx>
        <c:axId val="1997816240"/>
        <c:scaling>
          <c:orientation val="minMax"/>
        </c:scaling>
        <c:delete val="1"/>
        <c:axPos val="b"/>
        <c:numFmt formatCode="#,##0.0%;\-#,##0.0%;#,##0.0%" sourceLinked="1"/>
        <c:majorTickMark val="none"/>
        <c:minorTickMark val="none"/>
        <c:tickLblPos val="nextTo"/>
        <c:crossAx val="199780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[Brian-Card Risk Analysis Project.xlsx]PivotBase!Risk-level/Card Type</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Fraud Rate by Risk Level (per Card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rgbClr val="FF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layout>
            <c:manualLayout>
              <c:x val="0.1433194637078132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PivotBase!$V$1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PivotBase!$T$2:$U$13</c:f>
              <c:multiLvlStrCache>
                <c:ptCount val="12"/>
                <c:lvl>
                  <c:pt idx="0">
                    <c:v>Charge</c:v>
                  </c:pt>
                  <c:pt idx="1">
                    <c:v>Credit</c:v>
                  </c:pt>
                  <c:pt idx="2">
                    <c:v>Debit</c:v>
                  </c:pt>
                  <c:pt idx="3">
                    <c:v>Prepaid</c:v>
                  </c:pt>
                  <c:pt idx="4">
                    <c:v>Charge</c:v>
                  </c:pt>
                  <c:pt idx="5">
                    <c:v>Credit</c:v>
                  </c:pt>
                  <c:pt idx="6">
                    <c:v>Debit</c:v>
                  </c:pt>
                  <c:pt idx="7">
                    <c:v>Prepaid</c:v>
                  </c:pt>
                  <c:pt idx="8">
                    <c:v>Charge</c:v>
                  </c:pt>
                  <c:pt idx="9">
                    <c:v>Credit</c:v>
                  </c:pt>
                  <c:pt idx="10">
                    <c:v>Debit</c:v>
                  </c:pt>
                  <c:pt idx="11">
                    <c:v>Prepaid</c:v>
                  </c:pt>
                </c:lvl>
                <c:lvl>
                  <c:pt idx="0">
                    <c:v>High</c:v>
                  </c:pt>
                  <c:pt idx="4">
                    <c:v>Medium</c:v>
                  </c:pt>
                  <c:pt idx="8">
                    <c:v>Low</c:v>
                  </c:pt>
                </c:lvl>
              </c:multiLvlStrCache>
            </c:multiLvlStrRef>
          </c:cat>
          <c:val>
            <c:numRef>
              <c:f>PivotBase!$V$2:$V$13</c:f>
              <c:numCache>
                <c:formatCode>#,##0.0%;\-#,##0.0%;#,##0.0%</c:formatCode>
                <c:ptCount val="12"/>
                <c:pt idx="0">
                  <c:v>0.59965635738831613</c:v>
                </c:pt>
                <c:pt idx="1">
                  <c:v>0.50897736143637784</c:v>
                </c:pt>
                <c:pt idx="2">
                  <c:v>0.50034317089910774</c:v>
                </c:pt>
                <c:pt idx="3">
                  <c:v>0.58439355385920266</c:v>
                </c:pt>
                <c:pt idx="4">
                  <c:v>0.50165837479270314</c:v>
                </c:pt>
                <c:pt idx="5">
                  <c:v>0.45236631837738167</c:v>
                </c:pt>
                <c:pt idx="6">
                  <c:v>0.53790983606557374</c:v>
                </c:pt>
                <c:pt idx="7">
                  <c:v>0.50823723228995055</c:v>
                </c:pt>
                <c:pt idx="8">
                  <c:v>0.55428571428571427</c:v>
                </c:pt>
                <c:pt idx="9">
                  <c:v>0.38773669972948605</c:v>
                </c:pt>
                <c:pt idx="10">
                  <c:v>0.42372881355932202</c:v>
                </c:pt>
                <c:pt idx="11">
                  <c:v>0.49573312645461598</c:v>
                </c:pt>
              </c:numCache>
            </c:numRef>
          </c:val>
          <c:extLst>
            <c:ext xmlns:c16="http://schemas.microsoft.com/office/drawing/2014/chart" uri="{C3380CC4-5D6E-409C-BE32-E72D297353CC}">
              <c16:uniqueId val="{0000000F-2D9A-4B97-AC1E-1E26E7CE7F03}"/>
            </c:ext>
          </c:extLst>
        </c:ser>
        <c:dLbls>
          <c:dLblPos val="outEnd"/>
          <c:showLegendKey val="0"/>
          <c:showVal val="1"/>
          <c:showCatName val="0"/>
          <c:showSerName val="0"/>
          <c:showPercent val="0"/>
          <c:showBubbleSize val="0"/>
        </c:dLbls>
        <c:gapWidth val="40"/>
        <c:overlap val="-27"/>
        <c:axId val="642551983"/>
        <c:axId val="642544783"/>
      </c:barChart>
      <c:catAx>
        <c:axId val="642551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2544783"/>
        <c:crosses val="autoZero"/>
        <c:auto val="1"/>
        <c:lblAlgn val="ctr"/>
        <c:lblOffset val="100"/>
        <c:noMultiLvlLbl val="0"/>
      </c:catAx>
      <c:valAx>
        <c:axId val="642544783"/>
        <c:scaling>
          <c:orientation val="minMax"/>
        </c:scaling>
        <c:delete val="1"/>
        <c:axPos val="l"/>
        <c:numFmt formatCode="#,##0.0%;\-#,##0.0%;#,##0.0%" sourceLinked="1"/>
        <c:majorTickMark val="none"/>
        <c:minorTickMark val="none"/>
        <c:tickLblPos val="nextTo"/>
        <c:crossAx val="642551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[Brian-Card Risk Analysis Project.xlsx]PivotBase!Fraud Rate by Card Type (vs Portfolio)</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Fraud Rate by Card Type (vs Portfolio)</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ln w="12700" cap="rnd">
            <a:solidFill>
              <a:srgbClr val="FF0000"/>
            </a:solidFill>
            <a:prstDash val="lg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12700" cap="rnd">
            <a:solidFill>
              <a:srgbClr val="FF0000"/>
            </a:solidFill>
            <a:prstDash val="lg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2700" cap="rnd">
            <a:solidFill>
              <a:srgbClr val="FF0000"/>
            </a:solidFill>
            <a:prstDash val="lg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2700" cap="rnd">
            <a:solidFill>
              <a:srgbClr val="FF0000"/>
            </a:solidFill>
            <a:prstDash val="lg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PivotBase!$B$1</c:f>
              <c:strCache>
                <c:ptCount val="1"/>
                <c:pt idx="0">
                  <c:v>Fraud Rate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PivotBase!$A$2:$A$6</c:f>
              <c:strCache>
                <c:ptCount val="4"/>
                <c:pt idx="0">
                  <c:v>Charge</c:v>
                </c:pt>
                <c:pt idx="1">
                  <c:v>Prepaid</c:v>
                </c:pt>
                <c:pt idx="2">
                  <c:v>Debit</c:v>
                </c:pt>
                <c:pt idx="3">
                  <c:v>Credit</c:v>
                </c:pt>
              </c:strCache>
            </c:strRef>
          </c:cat>
          <c:val>
            <c:numRef>
              <c:f>PivotBase!$B$2:$B$6</c:f>
              <c:numCache>
                <c:formatCode>#,##0.0%;\-#,##0.0%;#,##0.0%</c:formatCode>
                <c:ptCount val="4"/>
                <c:pt idx="0">
                  <c:v>0.55145888594164461</c:v>
                </c:pt>
                <c:pt idx="1">
                  <c:v>0.52824551873981529</c:v>
                </c:pt>
                <c:pt idx="2">
                  <c:v>0.48351648351648352</c:v>
                </c:pt>
                <c:pt idx="3">
                  <c:v>0.4525765496639283</c:v>
                </c:pt>
              </c:numCache>
            </c:numRef>
          </c:val>
          <c:extLst>
            <c:ext xmlns:c16="http://schemas.microsoft.com/office/drawing/2014/chart" uri="{C3380CC4-5D6E-409C-BE32-E72D297353CC}">
              <c16:uniqueId val="{00000000-E268-4E5C-B0EE-5E6B0E53B377}"/>
            </c:ext>
          </c:extLst>
        </c:ser>
        <c:dLbls>
          <c:showLegendKey val="0"/>
          <c:showVal val="0"/>
          <c:showCatName val="0"/>
          <c:showSerName val="0"/>
          <c:showPercent val="0"/>
          <c:showBubbleSize val="0"/>
        </c:dLbls>
        <c:gapWidth val="60"/>
        <c:overlap val="-27"/>
        <c:axId val="16856687"/>
        <c:axId val="16853807"/>
      </c:barChart>
      <c:lineChart>
        <c:grouping val="standard"/>
        <c:varyColors val="0"/>
        <c:ser>
          <c:idx val="1"/>
          <c:order val="1"/>
          <c:tx>
            <c:strRef>
              <c:f>PivotBase!$C$1</c:f>
              <c:strCache>
                <c:ptCount val="1"/>
                <c:pt idx="0">
                  <c:v>Portfolio Fraud Rate</c:v>
                </c:pt>
              </c:strCache>
            </c:strRef>
          </c:tx>
          <c:spPr>
            <a:ln w="12700" cap="rnd">
              <a:solidFill>
                <a:srgbClr val="FF0000"/>
              </a:solidFill>
              <a:prstDash val="lgDash"/>
              <a:round/>
            </a:ln>
            <a:effectLst/>
          </c:spPr>
          <c:marker>
            <c:symbol val="none"/>
          </c:marker>
          <c:dPt>
            <c:idx val="0"/>
            <c:marker>
              <c:symbol val="none"/>
            </c:marker>
            <c:bubble3D val="0"/>
            <c:extLst>
              <c:ext xmlns:c16="http://schemas.microsoft.com/office/drawing/2014/chart" uri="{C3380CC4-5D6E-409C-BE32-E72D297353CC}">
                <c16:uniqueId val="{00000003-E268-4E5C-B0EE-5E6B0E53B377}"/>
              </c:ext>
            </c:extLst>
          </c:dPt>
          <c:dPt>
            <c:idx val="1"/>
            <c:marker>
              <c:symbol val="none"/>
            </c:marker>
            <c:bubble3D val="0"/>
            <c:extLst>
              <c:ext xmlns:c16="http://schemas.microsoft.com/office/drawing/2014/chart" uri="{C3380CC4-5D6E-409C-BE32-E72D297353CC}">
                <c16:uniqueId val="{00000004-E268-4E5C-B0EE-5E6B0E53B377}"/>
              </c:ext>
            </c:extLst>
          </c:dPt>
          <c:dPt>
            <c:idx val="2"/>
            <c:marker>
              <c:symbol val="none"/>
            </c:marker>
            <c:bubble3D val="0"/>
            <c:extLst>
              <c:ext xmlns:c16="http://schemas.microsoft.com/office/drawing/2014/chart" uri="{C3380CC4-5D6E-409C-BE32-E72D297353CC}">
                <c16:uniqueId val="{00000005-E268-4E5C-B0EE-5E6B0E53B377}"/>
              </c:ext>
            </c:extLst>
          </c:dPt>
          <c:dLbls>
            <c:dLbl>
              <c:idx val="0"/>
              <c:delete val="1"/>
              <c:extLst>
                <c:ext xmlns:c15="http://schemas.microsoft.com/office/drawing/2012/chart" uri="{CE6537A1-D6FC-4f65-9D91-7224C49458BB}"/>
                <c:ext xmlns:c16="http://schemas.microsoft.com/office/drawing/2014/chart" uri="{C3380CC4-5D6E-409C-BE32-E72D297353CC}">
                  <c16:uniqueId val="{00000003-E268-4E5C-B0EE-5E6B0E53B377}"/>
                </c:ext>
              </c:extLst>
            </c:dLbl>
            <c:dLbl>
              <c:idx val="1"/>
              <c:delete val="1"/>
              <c:extLst>
                <c:ext xmlns:c15="http://schemas.microsoft.com/office/drawing/2012/chart" uri="{CE6537A1-D6FC-4f65-9D91-7224C49458BB}"/>
                <c:ext xmlns:c16="http://schemas.microsoft.com/office/drawing/2014/chart" uri="{C3380CC4-5D6E-409C-BE32-E72D297353CC}">
                  <c16:uniqueId val="{00000004-E268-4E5C-B0EE-5E6B0E53B377}"/>
                </c:ext>
              </c:extLst>
            </c:dLbl>
            <c:dLbl>
              <c:idx val="2"/>
              <c:delete val="1"/>
              <c:extLst>
                <c:ext xmlns:c15="http://schemas.microsoft.com/office/drawing/2012/chart" uri="{CE6537A1-D6FC-4f65-9D91-7224C49458BB}"/>
                <c:ext xmlns:c16="http://schemas.microsoft.com/office/drawing/2014/chart" uri="{C3380CC4-5D6E-409C-BE32-E72D297353CC}">
                  <c16:uniqueId val="{00000005-E268-4E5C-B0EE-5E6B0E53B37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PivotBase!$A$2:$A$6</c:f>
              <c:strCache>
                <c:ptCount val="4"/>
                <c:pt idx="0">
                  <c:v>Charge</c:v>
                </c:pt>
                <c:pt idx="1">
                  <c:v>Prepaid</c:v>
                </c:pt>
                <c:pt idx="2">
                  <c:v>Debit</c:v>
                </c:pt>
                <c:pt idx="3">
                  <c:v>Credit</c:v>
                </c:pt>
              </c:strCache>
            </c:strRef>
          </c:cat>
          <c:val>
            <c:numRef>
              <c:f>PivotBase!$C$2:$C$6</c:f>
              <c:numCache>
                <c:formatCode>0.0%;\-0.0%;0.0%</c:formatCode>
                <c:ptCount val="4"/>
                <c:pt idx="0">
                  <c:v>0.50302631578947365</c:v>
                </c:pt>
                <c:pt idx="1">
                  <c:v>0.50302631578947365</c:v>
                </c:pt>
                <c:pt idx="2">
                  <c:v>0.50302631578947365</c:v>
                </c:pt>
                <c:pt idx="3">
                  <c:v>0.50302631578947365</c:v>
                </c:pt>
              </c:numCache>
            </c:numRef>
          </c:val>
          <c:smooth val="0"/>
          <c:extLst>
            <c:ext xmlns:c16="http://schemas.microsoft.com/office/drawing/2014/chart" uri="{C3380CC4-5D6E-409C-BE32-E72D297353CC}">
              <c16:uniqueId val="{00000001-E268-4E5C-B0EE-5E6B0E53B377}"/>
            </c:ext>
          </c:extLst>
        </c:ser>
        <c:dLbls>
          <c:showLegendKey val="0"/>
          <c:showVal val="0"/>
          <c:showCatName val="0"/>
          <c:showSerName val="0"/>
          <c:showPercent val="0"/>
          <c:showBubbleSize val="0"/>
        </c:dLbls>
        <c:marker val="1"/>
        <c:smooth val="0"/>
        <c:axId val="16922111"/>
        <c:axId val="19363839"/>
      </c:lineChart>
      <c:catAx>
        <c:axId val="1685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53807"/>
        <c:crosses val="autoZero"/>
        <c:auto val="1"/>
        <c:lblAlgn val="ctr"/>
        <c:lblOffset val="100"/>
        <c:noMultiLvlLbl val="0"/>
      </c:catAx>
      <c:valAx>
        <c:axId val="16853807"/>
        <c:scaling>
          <c:orientation val="minMax"/>
        </c:scaling>
        <c:delete val="1"/>
        <c:axPos val="l"/>
        <c:numFmt formatCode="#,##0.0%;\-#,##0.0%;#,##0.0%" sourceLinked="1"/>
        <c:majorTickMark val="none"/>
        <c:minorTickMark val="none"/>
        <c:tickLblPos val="nextTo"/>
        <c:crossAx val="16856687"/>
        <c:crosses val="autoZero"/>
        <c:crossBetween val="between"/>
      </c:valAx>
      <c:valAx>
        <c:axId val="19363839"/>
        <c:scaling>
          <c:orientation val="minMax"/>
        </c:scaling>
        <c:delete val="1"/>
        <c:axPos val="r"/>
        <c:numFmt formatCode="0.0%;\-0.0%;0.0%" sourceLinked="1"/>
        <c:majorTickMark val="none"/>
        <c:minorTickMark val="none"/>
        <c:tickLblPos val="nextTo"/>
        <c:crossAx val="16922111"/>
        <c:crosses val="max"/>
        <c:crossBetween val="between"/>
      </c:valAx>
      <c:catAx>
        <c:axId val="16922111"/>
        <c:scaling>
          <c:orientation val="minMax"/>
        </c:scaling>
        <c:delete val="1"/>
        <c:axPos val="b"/>
        <c:numFmt formatCode="General" sourceLinked="1"/>
        <c:majorTickMark val="out"/>
        <c:minorTickMark val="none"/>
        <c:tickLblPos val="nextTo"/>
        <c:crossAx val="1936383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[Brian-Card Risk Analysis Project.xlsx]PivotBase!Fraud Rate by Card Type (vs Portfolio)</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Fraud Rate by Card Type (vs Portfolio)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ln w="12700" cap="rnd">
            <a:solidFill>
              <a:srgbClr val="FF0000"/>
            </a:solidFill>
            <a:prstDash val="lgDash"/>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12700" cap="rnd">
            <a:solidFill>
              <a:srgbClr val="FF0000"/>
            </a:solidFill>
            <a:prstDash val="lgDash"/>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12700" cap="rnd">
            <a:solidFill>
              <a:srgbClr val="FF0000"/>
            </a:solidFill>
            <a:prstDash val="lgDash"/>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12700" cap="rnd">
            <a:solidFill>
              <a:srgbClr val="FF0000"/>
            </a:solidFill>
            <a:prstDash val="lgDash"/>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PivotBase!$B$1</c:f>
              <c:strCache>
                <c:ptCount val="1"/>
                <c:pt idx="0">
                  <c:v>Fraud Rate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PivotBase!$A$2:$A$6</c:f>
              <c:strCache>
                <c:ptCount val="4"/>
                <c:pt idx="0">
                  <c:v>Charge</c:v>
                </c:pt>
                <c:pt idx="1">
                  <c:v>Prepaid</c:v>
                </c:pt>
                <c:pt idx="2">
                  <c:v>Debit</c:v>
                </c:pt>
                <c:pt idx="3">
                  <c:v>Credit</c:v>
                </c:pt>
              </c:strCache>
            </c:strRef>
          </c:cat>
          <c:val>
            <c:numRef>
              <c:f>PivotBase!$B$2:$B$6</c:f>
              <c:numCache>
                <c:formatCode>#,##0.0%;\-#,##0.0%;#,##0.0%</c:formatCode>
                <c:ptCount val="4"/>
                <c:pt idx="0">
                  <c:v>0.55145888594164461</c:v>
                </c:pt>
                <c:pt idx="1">
                  <c:v>0.52824551873981529</c:v>
                </c:pt>
                <c:pt idx="2">
                  <c:v>0.48351648351648352</c:v>
                </c:pt>
                <c:pt idx="3">
                  <c:v>0.4525765496639283</c:v>
                </c:pt>
              </c:numCache>
            </c:numRef>
          </c:val>
          <c:extLst>
            <c:ext xmlns:c16="http://schemas.microsoft.com/office/drawing/2014/chart" uri="{C3380CC4-5D6E-409C-BE32-E72D297353CC}">
              <c16:uniqueId val="{00000000-EB59-443B-838C-202E00D9F8E0}"/>
            </c:ext>
          </c:extLst>
        </c:ser>
        <c:dLbls>
          <c:showLegendKey val="0"/>
          <c:showVal val="0"/>
          <c:showCatName val="0"/>
          <c:showSerName val="0"/>
          <c:showPercent val="0"/>
          <c:showBubbleSize val="0"/>
        </c:dLbls>
        <c:gapWidth val="60"/>
        <c:overlap val="-27"/>
        <c:axId val="16856687"/>
        <c:axId val="16853807"/>
      </c:barChart>
      <c:lineChart>
        <c:grouping val="standard"/>
        <c:varyColors val="0"/>
        <c:ser>
          <c:idx val="1"/>
          <c:order val="1"/>
          <c:tx>
            <c:strRef>
              <c:f>PivotBase!$C$1</c:f>
              <c:strCache>
                <c:ptCount val="1"/>
                <c:pt idx="0">
                  <c:v>Portfolio Fraud Rate</c:v>
                </c:pt>
              </c:strCache>
            </c:strRef>
          </c:tx>
          <c:spPr>
            <a:ln w="12700" cap="rnd">
              <a:solidFill>
                <a:srgbClr val="FF0000"/>
              </a:solidFill>
              <a:prstDash val="lgDash"/>
              <a:round/>
            </a:ln>
            <a:effectLst>
              <a:outerShdw blurRad="57150" dist="19050" dir="5400000" algn="ctr" rotWithShape="0">
                <a:srgbClr val="000000">
                  <a:alpha val="63000"/>
                </a:srgbClr>
              </a:outerShdw>
            </a:effectLst>
          </c:spPr>
          <c:marker>
            <c:symbol val="none"/>
          </c:marker>
          <c:dPt>
            <c:idx val="0"/>
            <c:marker>
              <c:symbol val="none"/>
            </c:marker>
            <c:bubble3D val="0"/>
            <c:extLst>
              <c:ext xmlns:c16="http://schemas.microsoft.com/office/drawing/2014/chart" uri="{C3380CC4-5D6E-409C-BE32-E72D297353CC}">
                <c16:uniqueId val="{00000001-EB59-443B-838C-202E00D9F8E0}"/>
              </c:ext>
            </c:extLst>
          </c:dPt>
          <c:dPt>
            <c:idx val="1"/>
            <c:marker>
              <c:symbol val="none"/>
            </c:marker>
            <c:bubble3D val="0"/>
            <c:extLst>
              <c:ext xmlns:c16="http://schemas.microsoft.com/office/drawing/2014/chart" uri="{C3380CC4-5D6E-409C-BE32-E72D297353CC}">
                <c16:uniqueId val="{00000002-EB59-443B-838C-202E00D9F8E0}"/>
              </c:ext>
            </c:extLst>
          </c:dPt>
          <c:dPt>
            <c:idx val="2"/>
            <c:marker>
              <c:symbol val="none"/>
            </c:marker>
            <c:bubble3D val="0"/>
            <c:extLst>
              <c:ext xmlns:c16="http://schemas.microsoft.com/office/drawing/2014/chart" uri="{C3380CC4-5D6E-409C-BE32-E72D297353CC}">
                <c16:uniqueId val="{00000003-EB59-443B-838C-202E00D9F8E0}"/>
              </c:ext>
            </c:extLst>
          </c:dPt>
          <c:dLbls>
            <c:dLbl>
              <c:idx val="0"/>
              <c:delete val="1"/>
              <c:extLst>
                <c:ext xmlns:c15="http://schemas.microsoft.com/office/drawing/2012/chart" uri="{CE6537A1-D6FC-4f65-9D91-7224C49458BB}"/>
                <c:ext xmlns:c16="http://schemas.microsoft.com/office/drawing/2014/chart" uri="{C3380CC4-5D6E-409C-BE32-E72D297353CC}">
                  <c16:uniqueId val="{00000001-EB59-443B-838C-202E00D9F8E0}"/>
                </c:ext>
              </c:extLst>
            </c:dLbl>
            <c:dLbl>
              <c:idx val="1"/>
              <c:delete val="1"/>
              <c:extLst>
                <c:ext xmlns:c15="http://schemas.microsoft.com/office/drawing/2012/chart" uri="{CE6537A1-D6FC-4f65-9D91-7224C49458BB}"/>
                <c:ext xmlns:c16="http://schemas.microsoft.com/office/drawing/2014/chart" uri="{C3380CC4-5D6E-409C-BE32-E72D297353CC}">
                  <c16:uniqueId val="{00000002-EB59-443B-838C-202E00D9F8E0}"/>
                </c:ext>
              </c:extLst>
            </c:dLbl>
            <c:dLbl>
              <c:idx val="2"/>
              <c:delete val="1"/>
              <c:extLst>
                <c:ext xmlns:c15="http://schemas.microsoft.com/office/drawing/2012/chart" uri="{CE6537A1-D6FC-4f65-9D91-7224C49458BB}"/>
                <c:ext xmlns:c16="http://schemas.microsoft.com/office/drawing/2014/chart" uri="{C3380CC4-5D6E-409C-BE32-E72D297353CC}">
                  <c16:uniqueId val="{00000003-EB59-443B-838C-202E00D9F8E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PivotBase!$A$2:$A$6</c:f>
              <c:strCache>
                <c:ptCount val="4"/>
                <c:pt idx="0">
                  <c:v>Charge</c:v>
                </c:pt>
                <c:pt idx="1">
                  <c:v>Prepaid</c:v>
                </c:pt>
                <c:pt idx="2">
                  <c:v>Debit</c:v>
                </c:pt>
                <c:pt idx="3">
                  <c:v>Credit</c:v>
                </c:pt>
              </c:strCache>
            </c:strRef>
          </c:cat>
          <c:val>
            <c:numRef>
              <c:f>PivotBase!$C$2:$C$6</c:f>
              <c:numCache>
                <c:formatCode>0.0%;\-0.0%;0.0%</c:formatCode>
                <c:ptCount val="4"/>
                <c:pt idx="0">
                  <c:v>0.50302631578947365</c:v>
                </c:pt>
                <c:pt idx="1">
                  <c:v>0.50302631578947365</c:v>
                </c:pt>
                <c:pt idx="2">
                  <c:v>0.50302631578947365</c:v>
                </c:pt>
                <c:pt idx="3">
                  <c:v>0.50302631578947365</c:v>
                </c:pt>
              </c:numCache>
            </c:numRef>
          </c:val>
          <c:smooth val="0"/>
          <c:extLst>
            <c:ext xmlns:c16="http://schemas.microsoft.com/office/drawing/2014/chart" uri="{C3380CC4-5D6E-409C-BE32-E72D297353CC}">
              <c16:uniqueId val="{00000004-EB59-443B-838C-202E00D9F8E0}"/>
            </c:ext>
          </c:extLst>
        </c:ser>
        <c:dLbls>
          <c:showLegendKey val="0"/>
          <c:showVal val="0"/>
          <c:showCatName val="0"/>
          <c:showSerName val="0"/>
          <c:showPercent val="0"/>
          <c:showBubbleSize val="0"/>
        </c:dLbls>
        <c:marker val="1"/>
        <c:smooth val="0"/>
        <c:axId val="16922111"/>
        <c:axId val="19363839"/>
      </c:lineChart>
      <c:catAx>
        <c:axId val="16856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6853807"/>
        <c:crosses val="autoZero"/>
        <c:auto val="1"/>
        <c:lblAlgn val="ctr"/>
        <c:lblOffset val="100"/>
        <c:noMultiLvlLbl val="0"/>
      </c:catAx>
      <c:valAx>
        <c:axId val="16853807"/>
        <c:scaling>
          <c:orientation val="minMax"/>
        </c:scaling>
        <c:delete val="1"/>
        <c:axPos val="l"/>
        <c:numFmt formatCode="#,##0.0%;\-#,##0.0%;#,##0.0%" sourceLinked="1"/>
        <c:majorTickMark val="none"/>
        <c:minorTickMark val="none"/>
        <c:tickLblPos val="nextTo"/>
        <c:crossAx val="16856687"/>
        <c:crosses val="autoZero"/>
        <c:crossBetween val="between"/>
      </c:valAx>
      <c:valAx>
        <c:axId val="19363839"/>
        <c:scaling>
          <c:orientation val="minMax"/>
        </c:scaling>
        <c:delete val="1"/>
        <c:axPos val="r"/>
        <c:numFmt formatCode="0.0%;\-0.0%;0.0%" sourceLinked="1"/>
        <c:majorTickMark val="none"/>
        <c:minorTickMark val="none"/>
        <c:tickLblPos val="nextTo"/>
        <c:crossAx val="16922111"/>
        <c:crosses val="max"/>
        <c:crossBetween val="between"/>
      </c:valAx>
      <c:catAx>
        <c:axId val="16922111"/>
        <c:scaling>
          <c:orientation val="minMax"/>
        </c:scaling>
        <c:delete val="1"/>
        <c:axPos val="b"/>
        <c:numFmt formatCode="General" sourceLinked="1"/>
        <c:majorTickMark val="none"/>
        <c:minorTickMark val="none"/>
        <c:tickLblPos val="nextTo"/>
        <c:crossAx val="1936383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[Brian-Card Risk Analysis Project.xlsx]PivotBase!Merchant Fraud</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Cumulative Fraud Share by Merchant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7779E-3"/>
              <c:y val="0.14446777486147555"/>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layout>
            <c:manualLayout>
              <c:x val="0.30833333333333324"/>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7777777777777779E-3"/>
              <c:y val="0.14446777486147555"/>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layout>
            <c:manualLayout>
              <c:x val="0.30833333333333324"/>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9"/>
        <c:spPr>
          <a:ln w="12700" cap="rnd">
            <a:solidFill>
              <a:schemeClr val="accent1"/>
            </a:solidFill>
            <a:prstDash val="dash"/>
            <a:round/>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ln w="12700" cap="rnd">
            <a:solidFill>
              <a:schemeClr val="accent1"/>
            </a:solidFill>
            <a:prstDash val="dash"/>
            <a:round/>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12700" cap="rnd">
            <a:solidFill>
              <a:schemeClr val="accent1"/>
            </a:solidFill>
            <a:prstDash val="dash"/>
            <a:round/>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12700" cap="rnd">
            <a:solidFill>
              <a:schemeClr val="accent1"/>
            </a:solidFill>
            <a:prstDash val="dash"/>
            <a:round/>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12700" cap="rnd">
            <a:solidFill>
              <a:schemeClr val="accent1"/>
            </a:solidFill>
            <a:prstDash val="dash"/>
            <a:round/>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12700" cap="rnd">
            <a:solidFill>
              <a:schemeClr val="accent1"/>
            </a:solidFill>
            <a:prstDash val="dash"/>
            <a:round/>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12700" cap="rnd">
            <a:solidFill>
              <a:schemeClr val="accent1"/>
            </a:solidFill>
            <a:prstDash val="dash"/>
            <a:round/>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PivotBase!$I$1</c:f>
              <c:strCache>
                <c:ptCount val="1"/>
                <c:pt idx="0">
                  <c:v>Fraud Txns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0-D4BF-4B6D-9A8C-2A9C83DA2A16}"/>
              </c:ext>
            </c:extLst>
          </c:dPt>
          <c:dPt>
            <c:idx val="4"/>
            <c:invertIfNegative val="0"/>
            <c:bubble3D val="0"/>
            <c:extLst>
              <c:ext xmlns:c16="http://schemas.microsoft.com/office/drawing/2014/chart" uri="{C3380CC4-5D6E-409C-BE32-E72D297353CC}">
                <c16:uniqueId val="{00000001-D4BF-4B6D-9A8C-2A9C83DA2A1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PivotBase!$H$2:$H$8</c:f>
              <c:strCache>
                <c:ptCount val="6"/>
                <c:pt idx="0">
                  <c:v>Dining</c:v>
                </c:pt>
                <c:pt idx="1">
                  <c:v>Grocery</c:v>
                </c:pt>
                <c:pt idx="2">
                  <c:v>Travel</c:v>
                </c:pt>
                <c:pt idx="3">
                  <c:v>Electronics</c:v>
                </c:pt>
                <c:pt idx="4">
                  <c:v>Online</c:v>
                </c:pt>
                <c:pt idx="5">
                  <c:v>Retail</c:v>
                </c:pt>
              </c:strCache>
            </c:strRef>
          </c:cat>
          <c:val>
            <c:numRef>
              <c:f>PivotBase!$I$2:$I$8</c:f>
              <c:numCache>
                <c:formatCode>0</c:formatCode>
                <c:ptCount val="6"/>
                <c:pt idx="0">
                  <c:v>1590</c:v>
                </c:pt>
                <c:pt idx="1">
                  <c:v>1402</c:v>
                </c:pt>
                <c:pt idx="2">
                  <c:v>1259</c:v>
                </c:pt>
                <c:pt idx="3">
                  <c:v>1220</c:v>
                </c:pt>
                <c:pt idx="4">
                  <c:v>1097</c:v>
                </c:pt>
                <c:pt idx="5">
                  <c:v>1078</c:v>
                </c:pt>
              </c:numCache>
            </c:numRef>
          </c:val>
          <c:extLst>
            <c:ext xmlns:c16="http://schemas.microsoft.com/office/drawing/2014/chart" uri="{C3380CC4-5D6E-409C-BE32-E72D297353CC}">
              <c16:uniqueId val="{00000002-D4BF-4B6D-9A8C-2A9C83DA2A16}"/>
            </c:ext>
          </c:extLst>
        </c:ser>
        <c:dLbls>
          <c:showLegendKey val="0"/>
          <c:showVal val="1"/>
          <c:showCatName val="0"/>
          <c:showSerName val="0"/>
          <c:showPercent val="0"/>
          <c:showBubbleSize val="0"/>
        </c:dLbls>
        <c:gapWidth val="80"/>
        <c:overlap val="-27"/>
        <c:axId val="1997827280"/>
        <c:axId val="1997828720"/>
      </c:barChart>
      <c:lineChart>
        <c:grouping val="standard"/>
        <c:varyColors val="0"/>
        <c:ser>
          <c:idx val="1"/>
          <c:order val="1"/>
          <c:tx>
            <c:strRef>
              <c:f>PivotBase!$J$1</c:f>
              <c:strCache>
                <c:ptCount val="1"/>
                <c:pt idx="0">
                  <c:v>Cum % Fraud (Merchant)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D4BF-4B6D-9A8C-2A9C83DA2A16}"/>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D4BF-4B6D-9A8C-2A9C83DA2A16}"/>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D4BF-4B6D-9A8C-2A9C83DA2A16}"/>
              </c:ext>
            </c:extLst>
          </c:dPt>
          <c:dPt>
            <c:idx val="4"/>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D4BF-4B6D-9A8C-2A9C83DA2A16}"/>
              </c:ext>
            </c:extLst>
          </c:dPt>
          <c:dPt>
            <c:idx val="5"/>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D4BF-4B6D-9A8C-2A9C83DA2A16}"/>
              </c:ext>
            </c:extLst>
          </c:dPt>
          <c:dLbls>
            <c:dLbl>
              <c:idx val="1"/>
              <c:delete val="1"/>
              <c:extLst>
                <c:ext xmlns:c15="http://schemas.microsoft.com/office/drawing/2012/chart" uri="{CE6537A1-D6FC-4f65-9D91-7224C49458BB}"/>
                <c:ext xmlns:c16="http://schemas.microsoft.com/office/drawing/2014/chart" uri="{C3380CC4-5D6E-409C-BE32-E72D297353CC}">
                  <c16:uniqueId val="{00000003-D4BF-4B6D-9A8C-2A9C83DA2A16}"/>
                </c:ext>
              </c:extLst>
            </c:dLbl>
            <c:dLbl>
              <c:idx val="3"/>
              <c:delete val="1"/>
              <c:extLst>
                <c:ext xmlns:c15="http://schemas.microsoft.com/office/drawing/2012/chart" uri="{CE6537A1-D6FC-4f65-9D91-7224C49458BB}"/>
                <c:ext xmlns:c16="http://schemas.microsoft.com/office/drawing/2014/chart" uri="{C3380CC4-5D6E-409C-BE32-E72D297353CC}">
                  <c16:uniqueId val="{00000005-D4BF-4B6D-9A8C-2A9C83DA2A1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PivotBase!$H$2:$H$8</c:f>
              <c:strCache>
                <c:ptCount val="6"/>
                <c:pt idx="0">
                  <c:v>Dining</c:v>
                </c:pt>
                <c:pt idx="1">
                  <c:v>Grocery</c:v>
                </c:pt>
                <c:pt idx="2">
                  <c:v>Travel</c:v>
                </c:pt>
                <c:pt idx="3">
                  <c:v>Electronics</c:v>
                </c:pt>
                <c:pt idx="4">
                  <c:v>Online</c:v>
                </c:pt>
                <c:pt idx="5">
                  <c:v>Retail</c:v>
                </c:pt>
              </c:strCache>
            </c:strRef>
          </c:cat>
          <c:val>
            <c:numRef>
              <c:f>PivotBase!$J$2:$J$8</c:f>
              <c:numCache>
                <c:formatCode>0.0%;\-0.0%;0.0%</c:formatCode>
                <c:ptCount val="6"/>
                <c:pt idx="0">
                  <c:v>0.20795187025895892</c:v>
                </c:pt>
                <c:pt idx="1">
                  <c:v>0.39131572063824221</c:v>
                </c:pt>
                <c:pt idx="2">
                  <c:v>0.55597698142819774</c:v>
                </c:pt>
                <c:pt idx="3">
                  <c:v>0.71553753596651848</c:v>
                </c:pt>
                <c:pt idx="4">
                  <c:v>0.8590112477112215</c:v>
                </c:pt>
                <c:pt idx="5">
                  <c:v>1</c:v>
                </c:pt>
              </c:numCache>
            </c:numRef>
          </c:val>
          <c:smooth val="0"/>
          <c:extLst>
            <c:ext xmlns:c16="http://schemas.microsoft.com/office/drawing/2014/chart" uri="{C3380CC4-5D6E-409C-BE32-E72D297353CC}">
              <c16:uniqueId val="{00000008-D4BF-4B6D-9A8C-2A9C83DA2A16}"/>
            </c:ext>
          </c:extLst>
        </c:ser>
        <c:ser>
          <c:idx val="2"/>
          <c:order val="2"/>
          <c:tx>
            <c:strRef>
              <c:f>PivotBase!$K$1</c:f>
              <c:strCache>
                <c:ptCount val="1"/>
                <c:pt idx="0">
                  <c:v>Pareto Target 80%</c:v>
                </c:pt>
              </c:strCache>
            </c:strRef>
          </c:tx>
          <c:spPr>
            <a:ln w="12700" cap="rnd">
              <a:solidFill>
                <a:schemeClr val="accent3"/>
              </a:solidFill>
              <a:prstDash val="dash"/>
              <a:round/>
            </a:ln>
            <a:effectLst>
              <a:outerShdw blurRad="57150" dist="19050" dir="5400000" algn="ctr" rotWithShape="0">
                <a:srgbClr val="000000">
                  <a:alpha val="63000"/>
                </a:srgbClr>
              </a:outerShdw>
            </a:effectLst>
          </c:spPr>
          <c:marker>
            <c:symbol val="none"/>
          </c:marker>
          <c:dPt>
            <c:idx val="0"/>
            <c:marker>
              <c:symbol val="none"/>
            </c:marker>
            <c:bubble3D val="0"/>
            <c:extLst>
              <c:ext xmlns:c16="http://schemas.microsoft.com/office/drawing/2014/chart" uri="{C3380CC4-5D6E-409C-BE32-E72D297353CC}">
                <c16:uniqueId val="{00000009-D4BF-4B6D-9A8C-2A9C83DA2A16}"/>
              </c:ext>
            </c:extLst>
          </c:dPt>
          <c:dPt>
            <c:idx val="1"/>
            <c:marker>
              <c:symbol val="none"/>
            </c:marker>
            <c:bubble3D val="0"/>
            <c:extLst>
              <c:ext xmlns:c16="http://schemas.microsoft.com/office/drawing/2014/chart" uri="{C3380CC4-5D6E-409C-BE32-E72D297353CC}">
                <c16:uniqueId val="{0000000A-D4BF-4B6D-9A8C-2A9C83DA2A16}"/>
              </c:ext>
            </c:extLst>
          </c:dPt>
          <c:dPt>
            <c:idx val="2"/>
            <c:marker>
              <c:symbol val="none"/>
            </c:marker>
            <c:bubble3D val="0"/>
            <c:extLst>
              <c:ext xmlns:c16="http://schemas.microsoft.com/office/drawing/2014/chart" uri="{C3380CC4-5D6E-409C-BE32-E72D297353CC}">
                <c16:uniqueId val="{0000000B-D4BF-4B6D-9A8C-2A9C83DA2A16}"/>
              </c:ext>
            </c:extLst>
          </c:dPt>
          <c:dPt>
            <c:idx val="3"/>
            <c:marker>
              <c:symbol val="none"/>
            </c:marker>
            <c:bubble3D val="0"/>
            <c:extLst>
              <c:ext xmlns:c16="http://schemas.microsoft.com/office/drawing/2014/chart" uri="{C3380CC4-5D6E-409C-BE32-E72D297353CC}">
                <c16:uniqueId val="{0000000C-D4BF-4B6D-9A8C-2A9C83DA2A16}"/>
              </c:ext>
            </c:extLst>
          </c:dPt>
          <c:dPt>
            <c:idx val="4"/>
            <c:marker>
              <c:symbol val="none"/>
            </c:marker>
            <c:bubble3D val="0"/>
            <c:extLst>
              <c:ext xmlns:c16="http://schemas.microsoft.com/office/drawing/2014/chart" uri="{C3380CC4-5D6E-409C-BE32-E72D297353CC}">
                <c16:uniqueId val="{0000000D-D4BF-4B6D-9A8C-2A9C83DA2A16}"/>
              </c:ext>
            </c:extLst>
          </c:dPt>
          <c:dPt>
            <c:idx val="5"/>
            <c:marker>
              <c:symbol val="none"/>
            </c:marker>
            <c:bubble3D val="0"/>
            <c:extLst>
              <c:ext xmlns:c16="http://schemas.microsoft.com/office/drawing/2014/chart" uri="{C3380CC4-5D6E-409C-BE32-E72D297353CC}">
                <c16:uniqueId val="{0000000E-D4BF-4B6D-9A8C-2A9C83DA2A16}"/>
              </c:ext>
            </c:extLst>
          </c:dPt>
          <c:dLbls>
            <c:dLbl>
              <c:idx val="0"/>
              <c:delete val="1"/>
              <c:extLst>
                <c:ext xmlns:c15="http://schemas.microsoft.com/office/drawing/2012/chart" uri="{CE6537A1-D6FC-4f65-9D91-7224C49458BB}"/>
                <c:ext xmlns:c16="http://schemas.microsoft.com/office/drawing/2014/chart" uri="{C3380CC4-5D6E-409C-BE32-E72D297353CC}">
                  <c16:uniqueId val="{00000009-D4BF-4B6D-9A8C-2A9C83DA2A16}"/>
                </c:ext>
              </c:extLst>
            </c:dLbl>
            <c:dLbl>
              <c:idx val="1"/>
              <c:delete val="1"/>
              <c:extLst>
                <c:ext xmlns:c15="http://schemas.microsoft.com/office/drawing/2012/chart" uri="{CE6537A1-D6FC-4f65-9D91-7224C49458BB}"/>
                <c:ext xmlns:c16="http://schemas.microsoft.com/office/drawing/2014/chart" uri="{C3380CC4-5D6E-409C-BE32-E72D297353CC}">
                  <c16:uniqueId val="{0000000A-D4BF-4B6D-9A8C-2A9C83DA2A16}"/>
                </c:ext>
              </c:extLst>
            </c:dLbl>
            <c:dLbl>
              <c:idx val="2"/>
              <c:delete val="1"/>
              <c:extLst>
                <c:ext xmlns:c15="http://schemas.microsoft.com/office/drawing/2012/chart" uri="{CE6537A1-D6FC-4f65-9D91-7224C49458BB}"/>
                <c:ext xmlns:c16="http://schemas.microsoft.com/office/drawing/2014/chart" uri="{C3380CC4-5D6E-409C-BE32-E72D297353CC}">
                  <c16:uniqueId val="{0000000B-D4BF-4B6D-9A8C-2A9C83DA2A16}"/>
                </c:ext>
              </c:extLst>
            </c:dLbl>
            <c:dLbl>
              <c:idx val="3"/>
              <c:delete val="1"/>
              <c:extLst>
                <c:ext xmlns:c15="http://schemas.microsoft.com/office/drawing/2012/chart" uri="{CE6537A1-D6FC-4f65-9D91-7224C49458BB}"/>
                <c:ext xmlns:c16="http://schemas.microsoft.com/office/drawing/2014/chart" uri="{C3380CC4-5D6E-409C-BE32-E72D297353CC}">
                  <c16:uniqueId val="{0000000C-D4BF-4B6D-9A8C-2A9C83DA2A16}"/>
                </c:ext>
              </c:extLst>
            </c:dLbl>
            <c:dLbl>
              <c:idx val="4"/>
              <c:delete val="1"/>
              <c:extLst>
                <c:ext xmlns:c15="http://schemas.microsoft.com/office/drawing/2012/chart" uri="{CE6537A1-D6FC-4f65-9D91-7224C49458BB}"/>
                <c:ext xmlns:c16="http://schemas.microsoft.com/office/drawing/2014/chart" uri="{C3380CC4-5D6E-409C-BE32-E72D297353CC}">
                  <c16:uniqueId val="{0000000D-D4BF-4B6D-9A8C-2A9C83DA2A16}"/>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PivotBase!$H$2:$H$8</c:f>
              <c:strCache>
                <c:ptCount val="6"/>
                <c:pt idx="0">
                  <c:v>Dining</c:v>
                </c:pt>
                <c:pt idx="1">
                  <c:v>Grocery</c:v>
                </c:pt>
                <c:pt idx="2">
                  <c:v>Travel</c:v>
                </c:pt>
                <c:pt idx="3">
                  <c:v>Electronics</c:v>
                </c:pt>
                <c:pt idx="4">
                  <c:v>Online</c:v>
                </c:pt>
                <c:pt idx="5">
                  <c:v>Retail</c:v>
                </c:pt>
              </c:strCache>
            </c:strRef>
          </c:cat>
          <c:val>
            <c:numRef>
              <c:f>PivotBase!$K$2:$K$8</c:f>
              <c:numCache>
                <c:formatCode>General</c:formatCode>
                <c:ptCount val="6"/>
                <c:pt idx="0">
                  <c:v>0.8</c:v>
                </c:pt>
                <c:pt idx="1">
                  <c:v>0.8</c:v>
                </c:pt>
                <c:pt idx="2">
                  <c:v>0.8</c:v>
                </c:pt>
                <c:pt idx="3">
                  <c:v>0.8</c:v>
                </c:pt>
                <c:pt idx="4">
                  <c:v>0.8</c:v>
                </c:pt>
                <c:pt idx="5">
                  <c:v>0.8</c:v>
                </c:pt>
              </c:numCache>
            </c:numRef>
          </c:val>
          <c:smooth val="0"/>
          <c:extLst>
            <c:ext xmlns:c16="http://schemas.microsoft.com/office/drawing/2014/chart" uri="{C3380CC4-5D6E-409C-BE32-E72D297353CC}">
              <c16:uniqueId val="{0000000F-D4BF-4B6D-9A8C-2A9C83DA2A16}"/>
            </c:ext>
          </c:extLst>
        </c:ser>
        <c:dLbls>
          <c:showLegendKey val="0"/>
          <c:showVal val="1"/>
          <c:showCatName val="0"/>
          <c:showSerName val="0"/>
          <c:showPercent val="0"/>
          <c:showBubbleSize val="0"/>
        </c:dLbls>
        <c:marker val="1"/>
        <c:smooth val="0"/>
        <c:axId val="1997830640"/>
        <c:axId val="1997832560"/>
      </c:lineChart>
      <c:catAx>
        <c:axId val="19978272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997828720"/>
        <c:crosses val="autoZero"/>
        <c:auto val="1"/>
        <c:lblAlgn val="ctr"/>
        <c:lblOffset val="100"/>
        <c:noMultiLvlLbl val="0"/>
      </c:catAx>
      <c:valAx>
        <c:axId val="1997828720"/>
        <c:scaling>
          <c:orientation val="minMax"/>
        </c:scaling>
        <c:delete val="0"/>
        <c:axPos val="l"/>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7827280"/>
        <c:crosses val="autoZero"/>
        <c:crossBetween val="between"/>
      </c:valAx>
      <c:valAx>
        <c:axId val="1997832560"/>
        <c:scaling>
          <c:orientation val="minMax"/>
          <c:max val="1"/>
        </c:scaling>
        <c:delete val="0"/>
        <c:axPos val="r"/>
        <c:numFmt formatCode="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7830640"/>
        <c:crosses val="max"/>
        <c:crossBetween val="between"/>
        <c:majorUnit val="0.2"/>
      </c:valAx>
      <c:catAx>
        <c:axId val="1997830640"/>
        <c:scaling>
          <c:orientation val="minMax"/>
        </c:scaling>
        <c:delete val="1"/>
        <c:axPos val="b"/>
        <c:numFmt formatCode="General" sourceLinked="1"/>
        <c:majorTickMark val="none"/>
        <c:minorTickMark val="none"/>
        <c:tickLblPos val="nextTo"/>
        <c:crossAx val="199783256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[Brian-Card Risk Analysis Project.xlsx]PivotBase!Country Fraud</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Fraud Rate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PivotBase!$N$1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PivotBase!$M$2:$M$8</c:f>
              <c:strCache>
                <c:ptCount val="6"/>
                <c:pt idx="0">
                  <c:v>Canada</c:v>
                </c:pt>
                <c:pt idx="1">
                  <c:v>UK</c:v>
                </c:pt>
                <c:pt idx="2">
                  <c:v>USA</c:v>
                </c:pt>
                <c:pt idx="3">
                  <c:v>Germany</c:v>
                </c:pt>
                <c:pt idx="4">
                  <c:v>India</c:v>
                </c:pt>
                <c:pt idx="5">
                  <c:v>Australia</c:v>
                </c:pt>
              </c:strCache>
            </c:strRef>
          </c:cat>
          <c:val>
            <c:numRef>
              <c:f>PivotBase!$N$2:$N$8</c:f>
              <c:numCache>
                <c:formatCode>#,##0.0%;\-#,##0.0%;#,##0.0%</c:formatCode>
                <c:ptCount val="6"/>
                <c:pt idx="0">
                  <c:v>0.47256317689530686</c:v>
                </c:pt>
                <c:pt idx="1">
                  <c:v>0.48292486942547208</c:v>
                </c:pt>
                <c:pt idx="2">
                  <c:v>0.48940196820590459</c:v>
                </c:pt>
                <c:pt idx="3">
                  <c:v>0.50567465321563687</c:v>
                </c:pt>
                <c:pt idx="4">
                  <c:v>0.52722287504896204</c:v>
                </c:pt>
                <c:pt idx="5">
                  <c:v>0.5462610899873257</c:v>
                </c:pt>
              </c:numCache>
            </c:numRef>
          </c:val>
          <c:extLst>
            <c:ext xmlns:c16="http://schemas.microsoft.com/office/drawing/2014/chart" uri="{C3380CC4-5D6E-409C-BE32-E72D297353CC}">
              <c16:uniqueId val="{00000000-2F07-4135-BD53-51A60C8C8C56}"/>
            </c:ext>
          </c:extLst>
        </c:ser>
        <c:dLbls>
          <c:dLblPos val="outEnd"/>
          <c:showLegendKey val="0"/>
          <c:showVal val="1"/>
          <c:showCatName val="0"/>
          <c:showSerName val="0"/>
          <c:showPercent val="0"/>
          <c:showBubbleSize val="0"/>
        </c:dLbls>
        <c:gapWidth val="115"/>
        <c:overlap val="-20"/>
        <c:axId val="1997809520"/>
        <c:axId val="1997816240"/>
      </c:barChart>
      <c:catAx>
        <c:axId val="19978095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997816240"/>
        <c:crosses val="autoZero"/>
        <c:auto val="1"/>
        <c:lblAlgn val="ctr"/>
        <c:lblOffset val="100"/>
        <c:noMultiLvlLbl val="0"/>
      </c:catAx>
      <c:valAx>
        <c:axId val="1997816240"/>
        <c:scaling>
          <c:orientation val="minMax"/>
        </c:scaling>
        <c:delete val="1"/>
        <c:axPos val="b"/>
        <c:numFmt formatCode="#,##0.0%;\-#,##0.0%;#,##0.0%" sourceLinked="1"/>
        <c:majorTickMark val="none"/>
        <c:minorTickMark val="none"/>
        <c:tickLblPos val="nextTo"/>
        <c:crossAx val="199780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[Brian-Card Risk Analysis Project.xlsx]PivotBase!Risk-level/Card Type</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Fraud Rate by Risk Level (per Card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layout>
            <c:manualLayout>
              <c:x val="0.1433194637078132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PivotBase!$V$1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PivotBase!$T$2:$U$13</c:f>
              <c:multiLvlStrCache>
                <c:ptCount val="12"/>
                <c:lvl>
                  <c:pt idx="0">
                    <c:v>Charge</c:v>
                  </c:pt>
                  <c:pt idx="1">
                    <c:v>Credit</c:v>
                  </c:pt>
                  <c:pt idx="2">
                    <c:v>Debit</c:v>
                  </c:pt>
                  <c:pt idx="3">
                    <c:v>Prepaid</c:v>
                  </c:pt>
                  <c:pt idx="4">
                    <c:v>Charge</c:v>
                  </c:pt>
                  <c:pt idx="5">
                    <c:v>Credit</c:v>
                  </c:pt>
                  <c:pt idx="6">
                    <c:v>Debit</c:v>
                  </c:pt>
                  <c:pt idx="7">
                    <c:v>Prepaid</c:v>
                  </c:pt>
                  <c:pt idx="8">
                    <c:v>Charge</c:v>
                  </c:pt>
                  <c:pt idx="9">
                    <c:v>Credit</c:v>
                  </c:pt>
                  <c:pt idx="10">
                    <c:v>Debit</c:v>
                  </c:pt>
                  <c:pt idx="11">
                    <c:v>Prepaid</c:v>
                  </c:pt>
                </c:lvl>
                <c:lvl>
                  <c:pt idx="0">
                    <c:v>High</c:v>
                  </c:pt>
                  <c:pt idx="4">
                    <c:v>Medium</c:v>
                  </c:pt>
                  <c:pt idx="8">
                    <c:v>Low</c:v>
                  </c:pt>
                </c:lvl>
              </c:multiLvlStrCache>
            </c:multiLvlStrRef>
          </c:cat>
          <c:val>
            <c:numRef>
              <c:f>PivotBase!$V$2:$V$13</c:f>
              <c:numCache>
                <c:formatCode>#,##0.0%;\-#,##0.0%;#,##0.0%</c:formatCode>
                <c:ptCount val="12"/>
                <c:pt idx="0">
                  <c:v>0.59965635738831613</c:v>
                </c:pt>
                <c:pt idx="1">
                  <c:v>0.50897736143637784</c:v>
                </c:pt>
                <c:pt idx="2">
                  <c:v>0.50034317089910774</c:v>
                </c:pt>
                <c:pt idx="3">
                  <c:v>0.58439355385920266</c:v>
                </c:pt>
                <c:pt idx="4">
                  <c:v>0.50165837479270314</c:v>
                </c:pt>
                <c:pt idx="5">
                  <c:v>0.45236631837738167</c:v>
                </c:pt>
                <c:pt idx="6">
                  <c:v>0.53790983606557374</c:v>
                </c:pt>
                <c:pt idx="7">
                  <c:v>0.50823723228995055</c:v>
                </c:pt>
                <c:pt idx="8">
                  <c:v>0.55428571428571427</c:v>
                </c:pt>
                <c:pt idx="9">
                  <c:v>0.38773669972948605</c:v>
                </c:pt>
                <c:pt idx="10">
                  <c:v>0.42372881355932202</c:v>
                </c:pt>
                <c:pt idx="11">
                  <c:v>0.49573312645461598</c:v>
                </c:pt>
              </c:numCache>
            </c:numRef>
          </c:val>
          <c:extLst>
            <c:ext xmlns:c16="http://schemas.microsoft.com/office/drawing/2014/chart" uri="{C3380CC4-5D6E-409C-BE32-E72D297353CC}">
              <c16:uniqueId val="{00000000-6603-45A3-A996-5555560728E1}"/>
            </c:ext>
          </c:extLst>
        </c:ser>
        <c:dLbls>
          <c:dLblPos val="outEnd"/>
          <c:showLegendKey val="0"/>
          <c:showVal val="1"/>
          <c:showCatName val="0"/>
          <c:showSerName val="0"/>
          <c:showPercent val="0"/>
          <c:showBubbleSize val="0"/>
        </c:dLbls>
        <c:gapWidth val="100"/>
        <c:overlap val="-24"/>
        <c:axId val="642551983"/>
        <c:axId val="642544783"/>
      </c:barChart>
      <c:catAx>
        <c:axId val="6425519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42544783"/>
        <c:crosses val="autoZero"/>
        <c:auto val="1"/>
        <c:lblAlgn val="ctr"/>
        <c:lblOffset val="100"/>
        <c:noMultiLvlLbl val="0"/>
      </c:catAx>
      <c:valAx>
        <c:axId val="642544783"/>
        <c:scaling>
          <c:orientation val="minMax"/>
        </c:scaling>
        <c:delete val="1"/>
        <c:axPos val="l"/>
        <c:numFmt formatCode="#,##0.0%;\-#,##0.0%;#,##0.0%" sourceLinked="1"/>
        <c:majorTickMark val="none"/>
        <c:minorTickMark val="none"/>
        <c:tickLblPos val="nextTo"/>
        <c:crossAx val="642551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iagrams/_rels/data1.xml.rels><?xml version="1.0" encoding="UTF-8" standalone="yes"?>
<Relationships xmlns="http://schemas.openxmlformats.org/package/2006/relationships"><Relationship Id="rId3" Type="http://schemas.openxmlformats.org/officeDocument/2006/relationships/hyperlink" Target="#'Clean Dataset'!A1"/><Relationship Id="rId2" Type="http://schemas.openxmlformats.org/officeDocument/2006/relationships/hyperlink" Target="#'Detailed Summary'!A1"/><Relationship Id="rId1" Type="http://schemas.openxmlformats.org/officeDocument/2006/relationships/hyperlink" Target="#Dashboard!A1"/></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CF527E8-C223-4755-B82E-D7F35354DC91}" type="doc">
      <dgm:prSet loTypeId="urn:microsoft.com/office/officeart/2005/8/layout/hProcess9" loCatId="process" qsTypeId="urn:microsoft.com/office/officeart/2005/8/quickstyle/3d1" qsCatId="3D" csTypeId="urn:microsoft.com/office/officeart/2005/8/colors/accent1_2" csCatId="accent1" phldr="1"/>
      <dgm:spPr/>
    </dgm:pt>
    <dgm:pt modelId="{C8A31E2A-54AC-49AA-B5A4-7CAFDAF61FB8}">
      <dgm:prSet phldrT="[Text]"/>
      <dgm:spPr>
        <a:solidFill>
          <a:schemeClr val="accent5">
            <a:lumMod val="50000"/>
          </a:schemeClr>
        </a:solidFill>
      </dgm:spPr>
      <dgm:t>
        <a:bodyPr/>
        <a:lstStyle/>
        <a:p>
          <a:r>
            <a:rPr lang="en-US" b="1"/>
            <a:t>Dashboard</a:t>
          </a:r>
        </a:p>
      </dgm:t>
      <dgm:extLst>
        <a:ext uri="{E40237B7-FDA0-4F09-8148-C483321AD2D9}">
          <dgm14:cNvPr xmlns:dgm14="http://schemas.microsoft.com/office/drawing/2010/diagram" id="0" name="">
            <a:hlinkClick xmlns:r="http://schemas.openxmlformats.org/officeDocument/2006/relationships" r:id="rId1"/>
          </dgm14:cNvPr>
        </a:ext>
      </dgm:extLst>
    </dgm:pt>
    <dgm:pt modelId="{4CCC656D-3BC6-4E6A-BB1F-E0A773F54E31}" type="parTrans" cxnId="{F5D9AC0E-0C08-41B3-ABC5-D32D5D77219B}">
      <dgm:prSet/>
      <dgm:spPr/>
      <dgm:t>
        <a:bodyPr/>
        <a:lstStyle/>
        <a:p>
          <a:endParaRPr lang="en-US"/>
        </a:p>
      </dgm:t>
    </dgm:pt>
    <dgm:pt modelId="{BC72008E-6C62-43C1-8BB0-C58684E5BFAC}" type="sibTrans" cxnId="{F5D9AC0E-0C08-41B3-ABC5-D32D5D77219B}">
      <dgm:prSet/>
      <dgm:spPr/>
      <dgm:t>
        <a:bodyPr/>
        <a:lstStyle/>
        <a:p>
          <a:endParaRPr lang="en-US"/>
        </a:p>
      </dgm:t>
    </dgm:pt>
    <dgm:pt modelId="{F412B5F2-1E0E-4C25-9B4B-907B76DA8AFE}">
      <dgm:prSet phldrT="[Text]"/>
      <dgm:spPr>
        <a:solidFill>
          <a:schemeClr val="accent5">
            <a:lumMod val="50000"/>
          </a:schemeClr>
        </a:solidFill>
      </dgm:spPr>
      <dgm:t>
        <a:bodyPr/>
        <a:lstStyle/>
        <a:p>
          <a:r>
            <a:rPr lang="en-US" b="1"/>
            <a:t>Detained Summary</a:t>
          </a:r>
        </a:p>
      </dgm:t>
      <dgm:extLst>
        <a:ext uri="{E40237B7-FDA0-4F09-8148-C483321AD2D9}">
          <dgm14:cNvPr xmlns:dgm14="http://schemas.microsoft.com/office/drawing/2010/diagram" id="0" name="">
            <a:hlinkClick xmlns:r="http://schemas.openxmlformats.org/officeDocument/2006/relationships" r:id="rId2"/>
          </dgm14:cNvPr>
        </a:ext>
      </dgm:extLst>
    </dgm:pt>
    <dgm:pt modelId="{984F2888-9E15-4D85-9DD4-A8C04D07D2D8}" type="parTrans" cxnId="{890562BC-FDEA-43F0-AFB0-FF9881A255B5}">
      <dgm:prSet/>
      <dgm:spPr/>
      <dgm:t>
        <a:bodyPr/>
        <a:lstStyle/>
        <a:p>
          <a:endParaRPr lang="en-US"/>
        </a:p>
      </dgm:t>
    </dgm:pt>
    <dgm:pt modelId="{76361A5D-A924-4B35-86DE-DDB05AB95BF5}" type="sibTrans" cxnId="{890562BC-FDEA-43F0-AFB0-FF9881A255B5}">
      <dgm:prSet/>
      <dgm:spPr/>
      <dgm:t>
        <a:bodyPr/>
        <a:lstStyle/>
        <a:p>
          <a:endParaRPr lang="en-US"/>
        </a:p>
      </dgm:t>
    </dgm:pt>
    <dgm:pt modelId="{31B2DB35-6242-4CB6-8B1B-A9D3B5666FFE}">
      <dgm:prSet phldrT="[Text]"/>
      <dgm:spPr>
        <a:solidFill>
          <a:schemeClr val="accent5">
            <a:lumMod val="50000"/>
          </a:schemeClr>
        </a:solidFill>
      </dgm:spPr>
      <dgm:t>
        <a:bodyPr/>
        <a:lstStyle/>
        <a:p>
          <a:r>
            <a:rPr lang="en-US" b="1"/>
            <a:t>Clean Dataset</a:t>
          </a:r>
        </a:p>
      </dgm:t>
      <dgm:extLst>
        <a:ext uri="{E40237B7-FDA0-4F09-8148-C483321AD2D9}">
          <dgm14:cNvPr xmlns:dgm14="http://schemas.microsoft.com/office/drawing/2010/diagram" id="0" name="">
            <a:hlinkClick xmlns:r="http://schemas.openxmlformats.org/officeDocument/2006/relationships" r:id="rId3"/>
          </dgm14:cNvPr>
        </a:ext>
      </dgm:extLst>
    </dgm:pt>
    <dgm:pt modelId="{451D0C1F-47E5-40B4-8D43-F54EAE2DBD65}" type="parTrans" cxnId="{A6A5E9E1-D451-47C6-8EE3-EBAB9759DD60}">
      <dgm:prSet/>
      <dgm:spPr/>
      <dgm:t>
        <a:bodyPr/>
        <a:lstStyle/>
        <a:p>
          <a:endParaRPr lang="en-US"/>
        </a:p>
      </dgm:t>
    </dgm:pt>
    <dgm:pt modelId="{CDCCFA9C-CBCF-43D5-89AD-D3C067F7E8C6}" type="sibTrans" cxnId="{A6A5E9E1-D451-47C6-8EE3-EBAB9759DD60}">
      <dgm:prSet/>
      <dgm:spPr/>
      <dgm:t>
        <a:bodyPr/>
        <a:lstStyle/>
        <a:p>
          <a:endParaRPr lang="en-US"/>
        </a:p>
      </dgm:t>
    </dgm:pt>
    <dgm:pt modelId="{0AAEF0DF-CAEC-4A55-AD87-CF16B8649EA5}" type="pres">
      <dgm:prSet presAssocID="{1CF527E8-C223-4755-B82E-D7F35354DC91}" presName="CompostProcess" presStyleCnt="0">
        <dgm:presLayoutVars>
          <dgm:dir/>
          <dgm:resizeHandles val="exact"/>
        </dgm:presLayoutVars>
      </dgm:prSet>
      <dgm:spPr/>
    </dgm:pt>
    <dgm:pt modelId="{88D05F37-F438-4876-ABB6-4B5D5F9CD3FB}" type="pres">
      <dgm:prSet presAssocID="{1CF527E8-C223-4755-B82E-D7F35354DC91}" presName="arrow" presStyleLbl="bgShp" presStyleIdx="0" presStyleCnt="1"/>
      <dgm:spPr/>
    </dgm:pt>
    <dgm:pt modelId="{C99C1133-25BB-4CAB-A3F9-EFB4A2C41077}" type="pres">
      <dgm:prSet presAssocID="{1CF527E8-C223-4755-B82E-D7F35354DC91}" presName="linearProcess" presStyleCnt="0"/>
      <dgm:spPr/>
    </dgm:pt>
    <dgm:pt modelId="{D07648AB-9B22-4F93-A429-769B10CC1282}" type="pres">
      <dgm:prSet presAssocID="{C8A31E2A-54AC-49AA-B5A4-7CAFDAF61FB8}" presName="textNode" presStyleLbl="node1" presStyleIdx="0" presStyleCnt="3">
        <dgm:presLayoutVars>
          <dgm:bulletEnabled val="1"/>
        </dgm:presLayoutVars>
      </dgm:prSet>
      <dgm:spPr/>
    </dgm:pt>
    <dgm:pt modelId="{C7EDB92D-ADF6-4934-BAA0-7BD1EBA40539}" type="pres">
      <dgm:prSet presAssocID="{BC72008E-6C62-43C1-8BB0-C58684E5BFAC}" presName="sibTrans" presStyleCnt="0"/>
      <dgm:spPr/>
    </dgm:pt>
    <dgm:pt modelId="{02B4A457-904F-464D-8367-F16E28FE97F4}" type="pres">
      <dgm:prSet presAssocID="{F412B5F2-1E0E-4C25-9B4B-907B76DA8AFE}" presName="textNode" presStyleLbl="node1" presStyleIdx="1" presStyleCnt="3">
        <dgm:presLayoutVars>
          <dgm:bulletEnabled val="1"/>
        </dgm:presLayoutVars>
      </dgm:prSet>
      <dgm:spPr/>
    </dgm:pt>
    <dgm:pt modelId="{D13C1588-BA6D-4567-AC32-F8A799FFC4B4}" type="pres">
      <dgm:prSet presAssocID="{76361A5D-A924-4B35-86DE-DDB05AB95BF5}" presName="sibTrans" presStyleCnt="0"/>
      <dgm:spPr/>
    </dgm:pt>
    <dgm:pt modelId="{587B1FEE-EE8A-406E-87FA-CEB64BDB7CF9}" type="pres">
      <dgm:prSet presAssocID="{31B2DB35-6242-4CB6-8B1B-A9D3B5666FFE}" presName="textNode" presStyleLbl="node1" presStyleIdx="2" presStyleCnt="3">
        <dgm:presLayoutVars>
          <dgm:bulletEnabled val="1"/>
        </dgm:presLayoutVars>
      </dgm:prSet>
      <dgm:spPr/>
    </dgm:pt>
  </dgm:ptLst>
  <dgm:cxnLst>
    <dgm:cxn modelId="{F5D9AC0E-0C08-41B3-ABC5-D32D5D77219B}" srcId="{1CF527E8-C223-4755-B82E-D7F35354DC91}" destId="{C8A31E2A-54AC-49AA-B5A4-7CAFDAF61FB8}" srcOrd="0" destOrd="0" parTransId="{4CCC656D-3BC6-4E6A-BB1F-E0A773F54E31}" sibTransId="{BC72008E-6C62-43C1-8BB0-C58684E5BFAC}"/>
    <dgm:cxn modelId="{BE95CD24-86AA-499A-9622-0F3A21815350}" type="presOf" srcId="{31B2DB35-6242-4CB6-8B1B-A9D3B5666FFE}" destId="{587B1FEE-EE8A-406E-87FA-CEB64BDB7CF9}" srcOrd="0" destOrd="0" presId="urn:microsoft.com/office/officeart/2005/8/layout/hProcess9"/>
    <dgm:cxn modelId="{5C3E8864-EF2E-4AE3-9509-02448DA0AFE7}" type="presOf" srcId="{1CF527E8-C223-4755-B82E-D7F35354DC91}" destId="{0AAEF0DF-CAEC-4A55-AD87-CF16B8649EA5}" srcOrd="0" destOrd="0" presId="urn:microsoft.com/office/officeart/2005/8/layout/hProcess9"/>
    <dgm:cxn modelId="{5D87434E-AF55-4539-B592-D49F27B974E1}" type="presOf" srcId="{F412B5F2-1E0E-4C25-9B4B-907B76DA8AFE}" destId="{02B4A457-904F-464D-8367-F16E28FE97F4}" srcOrd="0" destOrd="0" presId="urn:microsoft.com/office/officeart/2005/8/layout/hProcess9"/>
    <dgm:cxn modelId="{08F96C79-C67B-487E-BC30-705696435E38}" type="presOf" srcId="{C8A31E2A-54AC-49AA-B5A4-7CAFDAF61FB8}" destId="{D07648AB-9B22-4F93-A429-769B10CC1282}" srcOrd="0" destOrd="0" presId="urn:microsoft.com/office/officeart/2005/8/layout/hProcess9"/>
    <dgm:cxn modelId="{890562BC-FDEA-43F0-AFB0-FF9881A255B5}" srcId="{1CF527E8-C223-4755-B82E-D7F35354DC91}" destId="{F412B5F2-1E0E-4C25-9B4B-907B76DA8AFE}" srcOrd="1" destOrd="0" parTransId="{984F2888-9E15-4D85-9DD4-A8C04D07D2D8}" sibTransId="{76361A5D-A924-4B35-86DE-DDB05AB95BF5}"/>
    <dgm:cxn modelId="{A6A5E9E1-D451-47C6-8EE3-EBAB9759DD60}" srcId="{1CF527E8-C223-4755-B82E-D7F35354DC91}" destId="{31B2DB35-6242-4CB6-8B1B-A9D3B5666FFE}" srcOrd="2" destOrd="0" parTransId="{451D0C1F-47E5-40B4-8D43-F54EAE2DBD65}" sibTransId="{CDCCFA9C-CBCF-43D5-89AD-D3C067F7E8C6}"/>
    <dgm:cxn modelId="{F840E1D9-5E1E-4BEA-BB3A-FBD04A9B54E3}" type="presParOf" srcId="{0AAEF0DF-CAEC-4A55-AD87-CF16B8649EA5}" destId="{88D05F37-F438-4876-ABB6-4B5D5F9CD3FB}" srcOrd="0" destOrd="0" presId="urn:microsoft.com/office/officeart/2005/8/layout/hProcess9"/>
    <dgm:cxn modelId="{AE489D29-523D-4D0E-84FC-46C0EDF1BF9A}" type="presParOf" srcId="{0AAEF0DF-CAEC-4A55-AD87-CF16B8649EA5}" destId="{C99C1133-25BB-4CAB-A3F9-EFB4A2C41077}" srcOrd="1" destOrd="0" presId="urn:microsoft.com/office/officeart/2005/8/layout/hProcess9"/>
    <dgm:cxn modelId="{A0214291-1226-4FE5-BF75-C0E75BB4D0E6}" type="presParOf" srcId="{C99C1133-25BB-4CAB-A3F9-EFB4A2C41077}" destId="{D07648AB-9B22-4F93-A429-769B10CC1282}" srcOrd="0" destOrd="0" presId="urn:microsoft.com/office/officeart/2005/8/layout/hProcess9"/>
    <dgm:cxn modelId="{BF2CD0D1-1E33-421E-A329-024481F299E7}" type="presParOf" srcId="{C99C1133-25BB-4CAB-A3F9-EFB4A2C41077}" destId="{C7EDB92D-ADF6-4934-BAA0-7BD1EBA40539}" srcOrd="1" destOrd="0" presId="urn:microsoft.com/office/officeart/2005/8/layout/hProcess9"/>
    <dgm:cxn modelId="{3D2617A2-48D7-4438-A811-F2352D1F074D}" type="presParOf" srcId="{C99C1133-25BB-4CAB-A3F9-EFB4A2C41077}" destId="{02B4A457-904F-464D-8367-F16E28FE97F4}" srcOrd="2" destOrd="0" presId="urn:microsoft.com/office/officeart/2005/8/layout/hProcess9"/>
    <dgm:cxn modelId="{B37BC402-0E18-4EEA-BB80-7560688576D1}" type="presParOf" srcId="{C99C1133-25BB-4CAB-A3F9-EFB4A2C41077}" destId="{D13C1588-BA6D-4567-AC32-F8A799FFC4B4}" srcOrd="3" destOrd="0" presId="urn:microsoft.com/office/officeart/2005/8/layout/hProcess9"/>
    <dgm:cxn modelId="{DEDA1B19-CAC3-4C16-AE7B-04680EEF424C}" type="presParOf" srcId="{C99C1133-25BB-4CAB-A3F9-EFB4A2C41077}" destId="{587B1FEE-EE8A-406E-87FA-CEB64BDB7CF9}" srcOrd="4" destOrd="0" presId="urn:microsoft.com/office/officeart/2005/8/layout/hProcess9"/>
  </dgm:cxnLst>
  <dgm:bg>
    <a:solidFill>
      <a:schemeClr val="accent5">
        <a:lumMod val="50000"/>
      </a:schemeClr>
    </a:solidFill>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8D05F37-F438-4876-ABB6-4B5D5F9CD3FB}">
      <dsp:nvSpPr>
        <dsp:cNvPr id="0" name=""/>
        <dsp:cNvSpPr/>
      </dsp:nvSpPr>
      <dsp:spPr>
        <a:xfrm>
          <a:off x="256603" y="0"/>
          <a:ext cx="2908173" cy="1817370"/>
        </a:xfrm>
        <a:prstGeom prst="rightArrow">
          <a:avLst/>
        </a:prstGeom>
        <a:gradFill rotWithShape="0">
          <a:gsLst>
            <a:gs pos="0">
              <a:schemeClr val="accent1">
                <a:tint val="40000"/>
                <a:hueOff val="0"/>
                <a:satOff val="0"/>
                <a:lumOff val="0"/>
                <a:alphaOff val="0"/>
                <a:satMod val="103000"/>
                <a:lumMod val="102000"/>
                <a:tint val="94000"/>
              </a:schemeClr>
            </a:gs>
            <a:gs pos="50000">
              <a:schemeClr val="accent1">
                <a:tint val="40000"/>
                <a:hueOff val="0"/>
                <a:satOff val="0"/>
                <a:lumOff val="0"/>
                <a:alphaOff val="0"/>
                <a:satMod val="110000"/>
                <a:lumMod val="100000"/>
                <a:shade val="100000"/>
              </a:schemeClr>
            </a:gs>
            <a:gs pos="100000">
              <a:schemeClr val="accent1">
                <a:tint val="40000"/>
                <a:hueOff val="0"/>
                <a:satOff val="0"/>
                <a:lumOff val="0"/>
                <a:alphaOff val="0"/>
                <a:lumMod val="99000"/>
                <a:satMod val="120000"/>
                <a:shade val="78000"/>
              </a:schemeClr>
            </a:gs>
          </a:gsLst>
          <a:lin ang="5400000" scaled="0"/>
        </a:gradFill>
        <a:ln>
          <a:noFill/>
        </a:ln>
        <a:effectLst/>
        <a:scene3d>
          <a:camera prst="orthographicFront"/>
          <a:lightRig rig="flat" dir="t"/>
        </a:scene3d>
        <a:sp3d z="-190500" extrusionH="12700" prstMaterial="plastic">
          <a:bevelT w="50800" h="50800"/>
        </a:sp3d>
      </dsp:spPr>
      <dsp:style>
        <a:lnRef idx="0">
          <a:scrgbClr r="0" g="0" b="0"/>
        </a:lnRef>
        <a:fillRef idx="3">
          <a:scrgbClr r="0" g="0" b="0"/>
        </a:fillRef>
        <a:effectRef idx="0">
          <a:scrgbClr r="0" g="0" b="0"/>
        </a:effectRef>
        <a:fontRef idx="minor"/>
      </dsp:style>
    </dsp:sp>
    <dsp:sp modelId="{D07648AB-9B22-4F93-A429-769B10CC1282}">
      <dsp:nvSpPr>
        <dsp:cNvPr id="0" name=""/>
        <dsp:cNvSpPr/>
      </dsp:nvSpPr>
      <dsp:spPr>
        <a:xfrm>
          <a:off x="3675" y="545211"/>
          <a:ext cx="1101256" cy="726948"/>
        </a:xfrm>
        <a:prstGeom prst="roundRect">
          <a:avLst/>
        </a:prstGeom>
        <a:solidFill>
          <a:schemeClr val="accent5">
            <a:lumMod val="5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b="1" kern="1200"/>
            <a:t>Dashboard</a:t>
          </a:r>
        </a:p>
      </dsp:txBody>
      <dsp:txXfrm>
        <a:off x="39162" y="580698"/>
        <a:ext cx="1030282" cy="655974"/>
      </dsp:txXfrm>
    </dsp:sp>
    <dsp:sp modelId="{02B4A457-904F-464D-8367-F16E28FE97F4}">
      <dsp:nvSpPr>
        <dsp:cNvPr id="0" name=""/>
        <dsp:cNvSpPr/>
      </dsp:nvSpPr>
      <dsp:spPr>
        <a:xfrm>
          <a:off x="1160061" y="545211"/>
          <a:ext cx="1101256" cy="726948"/>
        </a:xfrm>
        <a:prstGeom prst="roundRect">
          <a:avLst/>
        </a:prstGeom>
        <a:solidFill>
          <a:schemeClr val="accent5">
            <a:lumMod val="5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b="1" kern="1200"/>
            <a:t>Detained Summary</a:t>
          </a:r>
        </a:p>
      </dsp:txBody>
      <dsp:txXfrm>
        <a:off x="1195548" y="580698"/>
        <a:ext cx="1030282" cy="655974"/>
      </dsp:txXfrm>
    </dsp:sp>
    <dsp:sp modelId="{587B1FEE-EE8A-406E-87FA-CEB64BDB7CF9}">
      <dsp:nvSpPr>
        <dsp:cNvPr id="0" name=""/>
        <dsp:cNvSpPr/>
      </dsp:nvSpPr>
      <dsp:spPr>
        <a:xfrm>
          <a:off x="2316448" y="545211"/>
          <a:ext cx="1101256" cy="726948"/>
        </a:xfrm>
        <a:prstGeom prst="roundRect">
          <a:avLst/>
        </a:prstGeom>
        <a:solidFill>
          <a:schemeClr val="accent5">
            <a:lumMod val="5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b="1" kern="1200"/>
            <a:t>Clean Dataset</a:t>
          </a:r>
        </a:p>
      </dsp:txBody>
      <dsp:txXfrm>
        <a:off x="2351935" y="580698"/>
        <a:ext cx="1030282" cy="655974"/>
      </dsp:txXfrm>
    </dsp:sp>
  </dsp:spTree>
</dsp:drawing>
</file>

<file path=xl/diagrams/layout1.xml><?xml version="1.0" encoding="utf-8"?>
<dgm:layoutDef xmlns:dgm="http://schemas.openxmlformats.org/drawingml/2006/diagram" xmlns:a="http://schemas.openxmlformats.org/drawingml/2006/main" uniqueId="urn:microsoft.com/office/officeart/2005/8/layout/hProcess9">
  <dgm:title val=""/>
  <dgm:desc val=""/>
  <dgm:catLst>
    <dgm:cat type="process" pri="5000"/>
    <dgm:cat type="convert" pri="1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CompostProcess">
    <dgm:varLst>
      <dgm:dir/>
      <dgm:resizeHandles val="exact"/>
    </dgm:varLst>
    <dgm:alg type="composite">
      <dgm:param type="horzAlign" val="ctr"/>
      <dgm:param type="vertAlign" val="mid"/>
    </dgm:alg>
    <dgm:shape xmlns:r="http://schemas.openxmlformats.org/officeDocument/2006/relationships" r:blip="">
      <dgm:adjLst/>
    </dgm:shape>
    <dgm:presOf/>
    <dgm:constrLst>
      <dgm:constr type="w" for="ch" forName="arrow" refType="w" fact="0.85"/>
      <dgm:constr type="h" for="ch" forName="arrow" refType="h"/>
      <dgm:constr type="ctrX" for="ch" forName="arrow" refType="w" fact="0.5"/>
      <dgm:constr type="ctrY" for="ch" forName="arrow" refType="h" fact="0.5"/>
      <dgm:constr type="w" for="ch" forName="linearProcess" refType="w"/>
      <dgm:constr type="h" for="ch" forName="linearProcess" refType="h" fact="0.4"/>
      <dgm:constr type="ctrX" for="ch" forName="linearProcess" refType="w" fact="0.5"/>
      <dgm:constr type="ctrY" for="ch" forName="linearProcess" refType="h" fact="0.5"/>
    </dgm:constrLst>
    <dgm:ruleLst/>
    <dgm:layoutNode name="arrow" styleLbl="bgShp">
      <dgm:alg type="sp"/>
      <dgm:choose name="Name0">
        <dgm:if name="Name1" func="var" arg="dir" op="equ" val="norm">
          <dgm:shape xmlns:r="http://schemas.openxmlformats.org/officeDocument/2006/relationships" type="rightArrow" r:blip="">
            <dgm:adjLst/>
          </dgm:shape>
        </dgm:if>
        <dgm:else name="Name2">
          <dgm:shape xmlns:r="http://schemas.openxmlformats.org/officeDocument/2006/relationships" type="leftArrow" r:blip="">
            <dgm:adjLst/>
          </dgm:shape>
        </dgm:else>
      </dgm:choose>
      <dgm:presOf/>
      <dgm:constrLst/>
      <dgm:ruleLst/>
    </dgm:layoutNode>
    <dgm:layoutNode name="linearProcess">
      <dgm:choose name="Name3">
        <dgm:if name="Name4" func="var" arg="dir" op="equ" val="norm">
          <dgm:alg type="lin"/>
        </dgm:if>
        <dgm:else name="Name5">
          <dgm:alg type="lin">
            <dgm:param type="linDir" val="fromR"/>
          </dgm:alg>
        </dgm:else>
      </dgm:choose>
      <dgm:shape xmlns:r="http://schemas.openxmlformats.org/officeDocument/2006/relationships" r:blip="">
        <dgm:adjLst/>
      </dgm:shape>
      <dgm:presOf/>
      <dgm:constrLst>
        <dgm:constr type="userA" for="ch" ptType="node" refType="w"/>
        <dgm:constr type="h" for="ch" ptType="node" refType="h"/>
        <dgm:constr type="w" for="ch" ptType="node" op="equ"/>
        <dgm:constr type="w" for="ch" forName="sibTrans" refType="w" fact="0.05"/>
        <dgm:constr type="primFontSz" for="ch" ptType="node" op="equ" val="65"/>
      </dgm:constrLst>
      <dgm:ruleLst/>
      <dgm:forEach name="Name6" axis="ch" ptType="node">
        <dgm:layoutNode name="textNode" styleLbl="node1">
          <dgm:varLst>
            <dgm:bulletEnabled val="1"/>
          </dgm:varLst>
          <dgm:alg type="tx"/>
          <dgm:shape xmlns:r="http://schemas.openxmlformats.org/officeDocument/2006/relationships" type="roundRect" r:blip="">
            <dgm:adjLst/>
          </dgm:shape>
          <dgm:presOf axis="desOrSelf" ptType="node"/>
          <dgm:constrLst>
            <dgm:constr type="userA"/>
            <dgm:constr type="w" refType="userA" fact="0.3"/>
            <dgm:constr type="tMarg" refType="primFontSz" fact="0.3"/>
            <dgm:constr type="bMarg" refType="primFontSz" fact="0.3"/>
            <dgm:constr type="lMarg" refType="primFontSz" fact="0.3"/>
            <dgm:constr type="rMarg" refType="primFontSz" fact="0.3"/>
          </dgm:constrLst>
          <dgm:ruleLst>
            <dgm:rule type="w" val="NaN" fact="1" max="NaN"/>
            <dgm:rule type="primFontSz" val="5" fact="NaN" max="NaN"/>
          </dgm:ruleLst>
        </dgm:layoutNode>
        <dgm:forEach name="Name7" axis="followSib" ptType="sibTrans" cnt="1">
          <dgm:layoutNode name="sibTrans">
            <dgm:alg type="sp"/>
            <dgm:shape xmlns:r="http://schemas.openxmlformats.org/officeDocument/2006/relationships" r:blip="">
              <dgm:adjLst/>
            </dgm:shape>
            <dgm:presOf/>
            <dgm:constrLst/>
            <dgm:ruleLst/>
          </dgm:layoutNode>
        </dgm:forEach>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3d1">
  <dgm:title val=""/>
  <dgm:desc val=""/>
  <dgm:catLst>
    <dgm:cat type="3D" pri="11100"/>
  </dgm:catLst>
  <dgm:scene3d>
    <a:camera prst="orthographicFront"/>
    <a:lightRig rig="threePt" dir="t"/>
  </dgm:scene3d>
  <dgm:styleLbl name="node0">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vennNode1">
    <dgm:scene3d>
      <a:camera prst="orthographicFront"/>
      <a:lightRig rig="flat" dir="t"/>
    </dgm:scene3d>
    <dgm:sp3d prstMaterial="plastic">
      <a:bevelT w="120900" h="88900"/>
      <a:bevelB w="88900" h="31750" prst="angle"/>
    </dgm:sp3d>
    <dgm:txPr/>
    <dgm:style>
      <a:lnRef idx="0">
        <a:scrgbClr r="0" g="0" b="0"/>
      </a:lnRef>
      <a:fillRef idx="1">
        <a:scrgbClr r="0" g="0" b="0"/>
      </a:fillRef>
      <a:effectRef idx="1">
        <a:scrgbClr r="0" g="0" b="0"/>
      </a:effectRef>
      <a:fontRef idx="minor">
        <a:schemeClr val="tx1"/>
      </a:fontRef>
    </dgm:style>
  </dgm:styleLbl>
  <dgm:styleLbl name="alignNode1">
    <dgm:scene3d>
      <a:camera prst="orthographicFront"/>
      <a:lightRig rig="flat" dir="t"/>
    </dgm:scene3d>
    <dgm:sp3d prstMaterial="plastic">
      <a:bevelT w="120900" h="88900"/>
      <a:bevelB w="88900" h="31750" prst="angle"/>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4">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fgImgPlace1">
    <dgm:scene3d>
      <a:camera prst="orthographicFront"/>
      <a:lightRig rig="flat" dir="t"/>
    </dgm:scene3d>
    <dgm:sp3d z="1270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alignImgPlace1">
    <dgm:scene3d>
      <a:camera prst="orthographicFront"/>
      <a:lightRig rig="flat" dir="t"/>
    </dgm:scene3d>
    <dgm:sp3d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bgImgPlace1">
    <dgm:scene3d>
      <a:camera prst="orthographicFront"/>
      <a:lightRig rig="flat" dir="t"/>
    </dgm:scene3d>
    <dgm:sp3d z="-1905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sibTrans2D1">
    <dgm:scene3d>
      <a:camera prst="orthographicFront"/>
      <a:lightRig rig="flat" dir="t"/>
    </dgm:scene3d>
    <dgm:sp3d z="-80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flat" dir="t"/>
    </dgm:scene3d>
    <dgm:sp3d z="127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flat" dir="t"/>
    </dgm:scene3d>
    <dgm:sp3d z="-1905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flat" dir="t"/>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1">
    <dgm:scene3d>
      <a:camera prst="orthographicFront"/>
      <a:lightRig rig="flat" dir="t"/>
    </dgm:scene3d>
    <dgm:sp3d z="-10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2">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3">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con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tr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solid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0">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2">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3">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4">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bgShp">
    <dgm:scene3d>
      <a:camera prst="orthographicFront"/>
      <a:lightRig rig="flat" dir="t"/>
    </dgm:scene3d>
    <dgm:sp3d z="-190500" extrusionH="12700" prstMaterial="plastic">
      <a:bevelT w="50800" h="50800"/>
    </dgm:sp3d>
    <dgm:txPr/>
    <dgm:style>
      <a:lnRef idx="0">
        <a:scrgbClr r="0" g="0" b="0"/>
      </a:lnRef>
      <a:fillRef idx="3">
        <a:scrgbClr r="0" g="0" b="0"/>
      </a:fillRef>
      <a:effectRef idx="0">
        <a:scrgbClr r="0" g="0" b="0"/>
      </a:effectRef>
      <a:fontRef idx="minor"/>
    </dgm:style>
  </dgm:styleLbl>
  <dgm:styleLbl name="dkBgShp">
    <dgm:scene3d>
      <a:camera prst="orthographicFront"/>
      <a:lightRig rig="flat" dir="t"/>
    </dgm:scene3d>
    <dgm:sp3d z="-190500" extrusionH="12700" prstMaterial="plastic">
      <a:bevelT w="50800" h="50800"/>
    </dgm:sp3d>
    <dgm:txPr/>
    <dgm:style>
      <a:lnRef idx="0">
        <a:scrgbClr r="0" g="0" b="0"/>
      </a:lnRef>
      <a:fillRef idx="2">
        <a:scrgbClr r="0" g="0" b="0"/>
      </a:fillRef>
      <a:effectRef idx="0">
        <a:scrgbClr r="0" g="0" b="0"/>
      </a:effectRef>
      <a:fontRef idx="minor"/>
    </dgm:style>
  </dgm:styleLbl>
  <dgm:styleLbl name="trBgShp">
    <dgm:scene3d>
      <a:camera prst="orthographicFront"/>
      <a:lightRig rig="flat" dir="t"/>
    </dgm:scene3d>
    <dgm:sp3d z="-190500" extrusionH="12700" prstMaterial="matte"/>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z="190500" prstMaterial="plastic">
      <a:bevelT w="120900" h="88900"/>
      <a:bevelB w="88900" h="31750" prst="angle"/>
    </dgm:sp3d>
    <dgm:txPr/>
    <dgm:style>
      <a:lnRef idx="0">
        <a:scrgbClr r="0" g="0" b="0"/>
      </a:lnRef>
      <a:fillRef idx="1">
        <a:scrgbClr r="0" g="0" b="0"/>
      </a:fillRef>
      <a:effectRef idx="3">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diagramLayout" Target="../diagrams/layout1.xml"/><Relationship Id="rId2" Type="http://schemas.openxmlformats.org/officeDocument/2006/relationships/diagramData" Target="../diagrams/data1.xml"/><Relationship Id="rId1" Type="http://schemas.openxmlformats.org/officeDocument/2006/relationships/hyperlink" Target="https://www.linkedin.com/in/brian-okari-6b41b836b/" TargetMode="Externa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3.xml.rels><?xml version="1.0" encoding="UTF-8" standalone="yes"?>
<Relationships xmlns="http://schemas.openxmlformats.org/package/2006/relationships"><Relationship Id="rId3" Type="http://schemas.openxmlformats.org/officeDocument/2006/relationships/hyperlink" Target="#'Detailed Summary'!A1"/><Relationship Id="rId7" Type="http://schemas.openxmlformats.org/officeDocument/2006/relationships/chart" Target="../charts/chart8.xml"/><Relationship Id="rId2" Type="http://schemas.openxmlformats.org/officeDocument/2006/relationships/hyperlink" Target="https://github.com/DataWithBrian" TargetMode="External"/><Relationship Id="rId1" Type="http://schemas.openxmlformats.org/officeDocument/2006/relationships/hyperlink" Target="#Overview!A1"/><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hyperlink" Target="#'Clean Dataset'!A1"/><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4</xdr:col>
      <xdr:colOff>220980</xdr:colOff>
      <xdr:row>7</xdr:row>
      <xdr:rowOff>140970</xdr:rowOff>
    </xdr:from>
    <xdr:to>
      <xdr:col>9</xdr:col>
      <xdr:colOff>792480</xdr:colOff>
      <xdr:row>22</xdr:row>
      <xdr:rowOff>140970</xdr:rowOff>
    </xdr:to>
    <xdr:graphicFrame macro="">
      <xdr:nvGraphicFramePr>
        <xdr:cNvPr id="5" name="Chart 4">
          <a:extLst>
            <a:ext uri="{FF2B5EF4-FFF2-40B4-BE49-F238E27FC236}">
              <a16:creationId xmlns:a16="http://schemas.microsoft.com/office/drawing/2014/main" id="{182BE66F-B6B5-5643-2320-10B3E673C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906780</xdr:colOff>
      <xdr:row>8</xdr:row>
      <xdr:rowOff>0</xdr:rowOff>
    </xdr:from>
    <xdr:to>
      <xdr:col>14</xdr:col>
      <xdr:colOff>137160</xdr:colOff>
      <xdr:row>23</xdr:row>
      <xdr:rowOff>0</xdr:rowOff>
    </xdr:to>
    <xdr:graphicFrame macro="">
      <xdr:nvGraphicFramePr>
        <xdr:cNvPr id="6" name="Chart 5">
          <a:extLst>
            <a:ext uri="{FF2B5EF4-FFF2-40B4-BE49-F238E27FC236}">
              <a16:creationId xmlns:a16="http://schemas.microsoft.com/office/drawing/2014/main" id="{01EEF8DC-0FCF-877A-44B9-6F5557B7E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175260</xdr:colOff>
      <xdr:row>25</xdr:row>
      <xdr:rowOff>30480</xdr:rowOff>
    </xdr:from>
    <xdr:to>
      <xdr:col>13</xdr:col>
      <xdr:colOff>129540</xdr:colOff>
      <xdr:row>38</xdr:row>
      <xdr:rowOff>120015</xdr:rowOff>
    </xdr:to>
    <mc:AlternateContent xmlns:mc="http://schemas.openxmlformats.org/markup-compatibility/2006" xmlns:a14="http://schemas.microsoft.com/office/drawing/2010/main">
      <mc:Choice Requires="a14">
        <xdr:graphicFrame macro="">
          <xdr:nvGraphicFramePr>
            <xdr:cNvPr id="4" name="Merchant Type">
              <a:extLst>
                <a:ext uri="{FF2B5EF4-FFF2-40B4-BE49-F238E27FC236}">
                  <a16:creationId xmlns:a16="http://schemas.microsoft.com/office/drawing/2014/main" id="{077DBB67-9D5D-BAFE-5F87-E6E559377734}"/>
                </a:ext>
              </a:extLst>
            </xdr:cNvPr>
            <xdr:cNvGraphicFramePr/>
          </xdr:nvGraphicFramePr>
          <xdr:xfrm>
            <a:off x="0" y="0"/>
            <a:ext cx="0" cy="0"/>
          </xdr:xfrm>
          <a:graphic>
            <a:graphicData uri="http://schemas.microsoft.com/office/drawing/2010/slicer">
              <sle:slicer xmlns:sle="http://schemas.microsoft.com/office/drawing/2010/slicer" name="Merchant Type"/>
            </a:graphicData>
          </a:graphic>
        </xdr:graphicFrame>
      </mc:Choice>
      <mc:Fallback xmlns="">
        <xdr:sp macro="" textlink="">
          <xdr:nvSpPr>
            <xdr:cNvPr id="0" name=""/>
            <xdr:cNvSpPr>
              <a:spLocks noTextEdit="1"/>
            </xdr:cNvSpPr>
          </xdr:nvSpPr>
          <xdr:spPr>
            <a:xfrm>
              <a:off x="10988040" y="4602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891540</xdr:colOff>
      <xdr:row>24</xdr:row>
      <xdr:rowOff>175260</xdr:rowOff>
    </xdr:from>
    <xdr:to>
      <xdr:col>11</xdr:col>
      <xdr:colOff>68580</xdr:colOff>
      <xdr:row>38</xdr:row>
      <xdr:rowOff>81915</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D9E1153A-C958-C005-FC8D-B5C6311022F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052560" y="4564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510540</xdr:colOff>
      <xdr:row>24</xdr:row>
      <xdr:rowOff>167640</xdr:rowOff>
    </xdr:from>
    <xdr:to>
      <xdr:col>9</xdr:col>
      <xdr:colOff>792480</xdr:colOff>
      <xdr:row>38</xdr:row>
      <xdr:rowOff>74295</xdr:rowOff>
    </xdr:to>
    <mc:AlternateContent xmlns:mc="http://schemas.openxmlformats.org/markup-compatibility/2006" xmlns:a14="http://schemas.microsoft.com/office/drawing/2010/main">
      <mc:Choice Requires="a14">
        <xdr:graphicFrame macro="">
          <xdr:nvGraphicFramePr>
            <xdr:cNvPr id="8" name="Card Type">
              <a:extLst>
                <a:ext uri="{FF2B5EF4-FFF2-40B4-BE49-F238E27FC236}">
                  <a16:creationId xmlns:a16="http://schemas.microsoft.com/office/drawing/2014/main" id="{77CACD26-FD41-D572-24B1-0A4F157F806E}"/>
                </a:ext>
              </a:extLst>
            </xdr:cNvPr>
            <xdr:cNvGraphicFramePr/>
          </xdr:nvGraphicFramePr>
          <xdr:xfrm>
            <a:off x="0" y="0"/>
            <a:ext cx="0" cy="0"/>
          </xdr:xfrm>
          <a:graphic>
            <a:graphicData uri="http://schemas.microsoft.com/office/drawing/2010/slicer">
              <sle:slicer xmlns:sle="http://schemas.microsoft.com/office/drawing/2010/slicer" name="Card Type"/>
            </a:graphicData>
          </a:graphic>
        </xdr:graphicFrame>
      </mc:Choice>
      <mc:Fallback xmlns="">
        <xdr:sp macro="" textlink="">
          <xdr:nvSpPr>
            <xdr:cNvPr id="0" name=""/>
            <xdr:cNvSpPr>
              <a:spLocks noTextEdit="1"/>
            </xdr:cNvSpPr>
          </xdr:nvSpPr>
          <xdr:spPr>
            <a:xfrm>
              <a:off x="7124700" y="4556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137160</xdr:colOff>
      <xdr:row>24</xdr:row>
      <xdr:rowOff>167640</xdr:rowOff>
    </xdr:from>
    <xdr:to>
      <xdr:col>7</xdr:col>
      <xdr:colOff>434340</xdr:colOff>
      <xdr:row>38</xdr:row>
      <xdr:rowOff>74295</xdr:rowOff>
    </xdr:to>
    <mc:AlternateContent xmlns:mc="http://schemas.openxmlformats.org/markup-compatibility/2006" xmlns:a14="http://schemas.microsoft.com/office/drawing/2010/main">
      <mc:Choice Requires="a14">
        <xdr:graphicFrame macro="">
          <xdr:nvGraphicFramePr>
            <xdr:cNvPr id="9" name="Risk Level">
              <a:extLst>
                <a:ext uri="{FF2B5EF4-FFF2-40B4-BE49-F238E27FC236}">
                  <a16:creationId xmlns:a16="http://schemas.microsoft.com/office/drawing/2014/main" id="{06ED7C01-E1CD-AC15-B70A-FEFDC33A432C}"/>
                </a:ext>
              </a:extLst>
            </xdr:cNvPr>
            <xdr:cNvGraphicFramePr/>
          </xdr:nvGraphicFramePr>
          <xdr:xfrm>
            <a:off x="0" y="0"/>
            <a:ext cx="0" cy="0"/>
          </xdr:xfrm>
          <a:graphic>
            <a:graphicData uri="http://schemas.microsoft.com/office/drawing/2010/slicer">
              <sle:slicer xmlns:sle="http://schemas.microsoft.com/office/drawing/2010/slicer" name="Risk Level"/>
            </a:graphicData>
          </a:graphic>
        </xdr:graphicFrame>
      </mc:Choice>
      <mc:Fallback xmlns="">
        <xdr:sp macro="" textlink="">
          <xdr:nvSpPr>
            <xdr:cNvPr id="0" name=""/>
            <xdr:cNvSpPr>
              <a:spLocks noTextEdit="1"/>
            </xdr:cNvSpPr>
          </xdr:nvSpPr>
          <xdr:spPr>
            <a:xfrm>
              <a:off x="5219700" y="4556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198120</xdr:colOff>
      <xdr:row>7</xdr:row>
      <xdr:rowOff>163830</xdr:rowOff>
    </xdr:from>
    <xdr:to>
      <xdr:col>22</xdr:col>
      <xdr:colOff>167640</xdr:colOff>
      <xdr:row>22</xdr:row>
      <xdr:rowOff>163830</xdr:rowOff>
    </xdr:to>
    <xdr:graphicFrame macro="">
      <xdr:nvGraphicFramePr>
        <xdr:cNvPr id="14" name="Chart 13">
          <a:extLst>
            <a:ext uri="{FF2B5EF4-FFF2-40B4-BE49-F238E27FC236}">
              <a16:creationId xmlns:a16="http://schemas.microsoft.com/office/drawing/2014/main" id="{75A8743A-C238-4A4D-3E9B-5E59F6437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83820</xdr:colOff>
      <xdr:row>7</xdr:row>
      <xdr:rowOff>118110</xdr:rowOff>
    </xdr:from>
    <xdr:to>
      <xdr:col>4</xdr:col>
      <xdr:colOff>121920</xdr:colOff>
      <xdr:row>22</xdr:row>
      <xdr:rowOff>118110</xdr:rowOff>
    </xdr:to>
    <xdr:graphicFrame macro="">
      <xdr:nvGraphicFramePr>
        <xdr:cNvPr id="15" name="Chart 14">
          <a:extLst>
            <a:ext uri="{FF2B5EF4-FFF2-40B4-BE49-F238E27FC236}">
              <a16:creationId xmlns:a16="http://schemas.microsoft.com/office/drawing/2014/main" id="{46F28EAA-8DC7-CE83-9E9C-D4AAB9BAA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xdr:colOff>
      <xdr:row>8</xdr:row>
      <xdr:rowOff>83820</xdr:rowOff>
    </xdr:from>
    <xdr:to>
      <xdr:col>18</xdr:col>
      <xdr:colOff>22860</xdr:colOff>
      <xdr:row>32</xdr:row>
      <xdr:rowOff>167640</xdr:rowOff>
    </xdr:to>
    <xdr:grpSp>
      <xdr:nvGrpSpPr>
        <xdr:cNvPr id="13" name="Group 12">
          <a:extLst>
            <a:ext uri="{FF2B5EF4-FFF2-40B4-BE49-F238E27FC236}">
              <a16:creationId xmlns:a16="http://schemas.microsoft.com/office/drawing/2014/main" id="{04A2E3F8-B5AD-E400-ED3C-0BCDA598CEEB}"/>
            </a:ext>
          </a:extLst>
        </xdr:cNvPr>
        <xdr:cNvGrpSpPr/>
      </xdr:nvGrpSpPr>
      <xdr:grpSpPr>
        <a:xfrm>
          <a:off x="2491740" y="1546860"/>
          <a:ext cx="8503920" cy="4472940"/>
          <a:chOff x="5768340" y="419100"/>
          <a:chExt cx="8503920" cy="4472940"/>
        </a:xfrm>
      </xdr:grpSpPr>
      <xdr:grpSp>
        <xdr:nvGrpSpPr>
          <xdr:cNvPr id="2" name="Group 1">
            <a:extLst>
              <a:ext uri="{FF2B5EF4-FFF2-40B4-BE49-F238E27FC236}">
                <a16:creationId xmlns:a16="http://schemas.microsoft.com/office/drawing/2014/main" id="{80993866-8F29-4BCE-B13F-FCDC3F6D0946}"/>
              </a:ext>
            </a:extLst>
          </xdr:cNvPr>
          <xdr:cNvGrpSpPr/>
        </xdr:nvGrpSpPr>
        <xdr:grpSpPr>
          <a:xfrm>
            <a:off x="5768340" y="419100"/>
            <a:ext cx="8503920" cy="4472940"/>
            <a:chOff x="1684020" y="220980"/>
            <a:chExt cx="8503920" cy="4472940"/>
          </a:xfrm>
          <a:solidFill>
            <a:schemeClr val="accent5">
              <a:lumMod val="50000"/>
            </a:schemeClr>
          </a:solidFill>
        </xdr:grpSpPr>
        <xdr:sp macro="" textlink="">
          <xdr:nvSpPr>
            <xdr:cNvPr id="3" name="Rectangle: Rounded Corners 2">
              <a:extLst>
                <a:ext uri="{FF2B5EF4-FFF2-40B4-BE49-F238E27FC236}">
                  <a16:creationId xmlns:a16="http://schemas.microsoft.com/office/drawing/2014/main" id="{5532FB49-4B6E-4011-4963-2306BDF85A7D}"/>
                </a:ext>
              </a:extLst>
            </xdr:cNvPr>
            <xdr:cNvSpPr/>
          </xdr:nvSpPr>
          <xdr:spPr>
            <a:xfrm>
              <a:off x="1684020" y="220980"/>
              <a:ext cx="8503920" cy="447294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hlinkClick xmlns:r="http://schemas.openxmlformats.org/officeDocument/2006/relationships" r:id="rId1"/>
              <a:extLst>
                <a:ext uri="{FF2B5EF4-FFF2-40B4-BE49-F238E27FC236}">
                  <a16:creationId xmlns:a16="http://schemas.microsoft.com/office/drawing/2014/main" id="{88F6F169-24F7-017B-43BA-BF590A32EA7F}"/>
                </a:ext>
              </a:extLst>
            </xdr:cNvPr>
            <xdr:cNvSpPr/>
          </xdr:nvSpPr>
          <xdr:spPr>
            <a:xfrm>
              <a:off x="2659380" y="320040"/>
              <a:ext cx="6240780" cy="617220"/>
            </a:xfrm>
            <a:prstGeom prst="rect">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BRIAN CARD</a:t>
              </a:r>
              <a:r>
                <a:rPr lang="en-US" sz="2800" b="1" baseline="0">
                  <a:solidFill>
                    <a:schemeClr val="bg1"/>
                  </a:solidFill>
                </a:rPr>
                <a:t> FRAUD</a:t>
              </a:r>
              <a:r>
                <a:rPr lang="en-US" sz="2800" b="1">
                  <a:solidFill>
                    <a:schemeClr val="bg1"/>
                  </a:solidFill>
                </a:rPr>
                <a:t> ANALYTICS REPORT</a:t>
              </a:r>
            </a:p>
          </xdr:txBody>
        </xdr:sp>
        <xdr:sp macro="" textlink="">
          <xdr:nvSpPr>
            <xdr:cNvPr id="5" name="Rectangle: Rounded Corners 4">
              <a:extLst>
                <a:ext uri="{FF2B5EF4-FFF2-40B4-BE49-F238E27FC236}">
                  <a16:creationId xmlns:a16="http://schemas.microsoft.com/office/drawing/2014/main" id="{00CA24D0-761D-ADA3-04C4-DEEC8091CB90}"/>
                </a:ext>
              </a:extLst>
            </xdr:cNvPr>
            <xdr:cNvSpPr/>
          </xdr:nvSpPr>
          <xdr:spPr>
            <a:xfrm>
              <a:off x="2141220" y="1043940"/>
              <a:ext cx="3619500" cy="3444240"/>
            </a:xfrm>
            <a:prstGeom prst="roundRect">
              <a:avLst/>
            </a:prstGeom>
            <a:grpFill/>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baseline="0">
                  <a:solidFill>
                    <a:schemeClr val="bg1"/>
                  </a:solidFill>
                  <a:latin typeface="Times New Roman" panose="02020603050405020304" pitchFamily="18" charset="0"/>
                  <a:cs typeface="Times New Roman" panose="02020603050405020304" pitchFamily="18" charset="0"/>
                </a:rPr>
                <a:t>This card Fraud Analytics report summarizes transaction-weighted metrics across the card portfolio. It highlights concentration and hotspots to guide in card fraud mitigation. It includes:</a:t>
              </a:r>
            </a:p>
            <a:p>
              <a:pPr algn="l"/>
              <a:endParaRPr lang="en-US" sz="1400" b="0" baseline="0">
                <a:solidFill>
                  <a:schemeClr val="bg1"/>
                </a:solidFill>
                <a:latin typeface="Times New Roman" panose="02020603050405020304" pitchFamily="18" charset="0"/>
                <a:cs typeface="Times New Roman" panose="02020603050405020304" pitchFamily="18" charset="0"/>
              </a:endParaRPr>
            </a:p>
            <a:p>
              <a:pPr algn="l"/>
              <a:r>
                <a:rPr lang="en-US" sz="1400" b="0" baseline="0">
                  <a:solidFill>
                    <a:schemeClr val="bg1"/>
                  </a:solidFill>
                  <a:latin typeface="Times New Roman" panose="02020603050405020304" pitchFamily="18" charset="0"/>
                  <a:cs typeface="Times New Roman" panose="02020603050405020304" pitchFamily="18" charset="0"/>
                </a:rPr>
                <a:t>1. Fraud rate vs portfolio baseline</a:t>
              </a:r>
            </a:p>
            <a:p>
              <a:pPr algn="l"/>
              <a:r>
                <a:rPr lang="en-US" sz="1400" b="0" baseline="0">
                  <a:solidFill>
                    <a:schemeClr val="bg1"/>
                  </a:solidFill>
                  <a:latin typeface="Times New Roman" panose="02020603050405020304" pitchFamily="18" charset="0"/>
                  <a:cs typeface="Times New Roman" panose="02020603050405020304" pitchFamily="18" charset="0"/>
                </a:rPr>
                <a:t>2. Concetration by Merchant Type</a:t>
              </a:r>
            </a:p>
            <a:p>
              <a:pPr algn="l"/>
              <a:r>
                <a:rPr lang="en-US" sz="1400" b="0" baseline="0">
                  <a:solidFill>
                    <a:schemeClr val="bg1"/>
                  </a:solidFill>
                  <a:latin typeface="Times New Roman" panose="02020603050405020304" pitchFamily="18" charset="0"/>
                  <a:cs typeface="Times New Roman" panose="02020603050405020304" pitchFamily="18" charset="0"/>
                </a:rPr>
                <a:t>3. Country risk ranking</a:t>
              </a:r>
            </a:p>
            <a:p>
              <a:pPr algn="l"/>
              <a:r>
                <a:rPr lang="en-US" sz="1400" b="0" baseline="0">
                  <a:solidFill>
                    <a:schemeClr val="bg1"/>
                  </a:solidFill>
                  <a:latin typeface="Times New Roman" panose="02020603050405020304" pitchFamily="18" charset="0"/>
                  <a:cs typeface="Times New Roman" panose="02020603050405020304" pitchFamily="18" charset="0"/>
                </a:rPr>
                <a:t>4. Risk level by Card type patterns </a:t>
              </a:r>
            </a:p>
            <a:p>
              <a:pPr algn="l"/>
              <a:r>
                <a:rPr lang="en-US" sz="1400" b="0" baseline="0">
                  <a:solidFill>
                    <a:schemeClr val="bg1"/>
                  </a:solidFill>
                  <a:latin typeface="Times New Roman" panose="02020603050405020304" pitchFamily="18" charset="0"/>
                  <a:cs typeface="Times New Roman" panose="02020603050405020304" pitchFamily="18" charset="0"/>
                </a:rPr>
                <a:t>5. High Risk share</a:t>
              </a:r>
            </a:p>
            <a:p>
              <a:pPr algn="l"/>
              <a:r>
                <a:rPr lang="en-US" sz="1400" b="0" baseline="0">
                  <a:solidFill>
                    <a:schemeClr val="bg1"/>
                  </a:solidFill>
                  <a:latin typeface="Times New Roman" panose="02020603050405020304" pitchFamily="18" charset="0"/>
                  <a:cs typeface="Times New Roman" panose="02020603050405020304" pitchFamily="18" charset="0"/>
                </a:rPr>
                <a:t>6. Slicers for Interactive analytics</a:t>
              </a:r>
              <a:endParaRPr lang="en-US" sz="1400" b="0">
                <a:solidFill>
                  <a:schemeClr val="bg1"/>
                </a:solidFill>
                <a:latin typeface="Times New Roman" panose="02020603050405020304" pitchFamily="18" charset="0"/>
                <a:cs typeface="Times New Roman" panose="02020603050405020304" pitchFamily="18" charset="0"/>
              </a:endParaRPr>
            </a:p>
          </xdr:txBody>
        </xdr:sp>
        <xdr:sp macro="" textlink="">
          <xdr:nvSpPr>
            <xdr:cNvPr id="6" name="Rectangle: Rounded Corners 5">
              <a:extLst>
                <a:ext uri="{FF2B5EF4-FFF2-40B4-BE49-F238E27FC236}">
                  <a16:creationId xmlns:a16="http://schemas.microsoft.com/office/drawing/2014/main" id="{47F34DDF-1C23-B2DE-1EE8-2D1581C56FC8}"/>
                </a:ext>
              </a:extLst>
            </xdr:cNvPr>
            <xdr:cNvSpPr/>
          </xdr:nvSpPr>
          <xdr:spPr>
            <a:xfrm>
              <a:off x="6027420" y="1028700"/>
              <a:ext cx="3611880" cy="3451860"/>
            </a:xfrm>
            <a:prstGeom prst="roundRect">
              <a:avLst/>
            </a:prstGeom>
            <a:grpFill/>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Contents</a:t>
              </a:r>
            </a:p>
          </xdr:txBody>
        </xdr:sp>
      </xdr:grpSp>
      <xdr:graphicFrame macro="">
        <xdr:nvGraphicFramePr>
          <xdr:cNvPr id="12" name="Diagram 11">
            <a:extLst>
              <a:ext uri="{FF2B5EF4-FFF2-40B4-BE49-F238E27FC236}">
                <a16:creationId xmlns:a16="http://schemas.microsoft.com/office/drawing/2014/main" id="{8565B0EF-F05C-F8A1-82DC-B78D02316E7F}"/>
              </a:ext>
            </a:extLst>
          </xdr:cNvPr>
          <xdr:cNvGraphicFramePr/>
        </xdr:nvGraphicFramePr>
        <xdr:xfrm>
          <a:off x="10195560" y="1985010"/>
          <a:ext cx="3421380" cy="181737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167640</xdr:colOff>
      <xdr:row>0</xdr:row>
      <xdr:rowOff>106680</xdr:rowOff>
    </xdr:from>
    <xdr:to>
      <xdr:col>20</xdr:col>
      <xdr:colOff>91440</xdr:colOff>
      <xdr:row>38</xdr:row>
      <xdr:rowOff>53340</xdr:rowOff>
    </xdr:to>
    <xdr:grpSp>
      <xdr:nvGrpSpPr>
        <xdr:cNvPr id="4" name="Group 3">
          <a:extLst>
            <a:ext uri="{FF2B5EF4-FFF2-40B4-BE49-F238E27FC236}">
              <a16:creationId xmlns:a16="http://schemas.microsoft.com/office/drawing/2014/main" id="{1A9E54E4-4428-87CF-ABE1-61EFC3D20E5B}"/>
            </a:ext>
          </a:extLst>
        </xdr:cNvPr>
        <xdr:cNvGrpSpPr/>
      </xdr:nvGrpSpPr>
      <xdr:grpSpPr>
        <a:xfrm>
          <a:off x="167640" y="106680"/>
          <a:ext cx="12115800" cy="7244927"/>
          <a:chOff x="167640" y="106680"/>
          <a:chExt cx="12115800" cy="7124700"/>
        </a:xfrm>
      </xdr:grpSpPr>
      <xdr:grpSp>
        <xdr:nvGrpSpPr>
          <xdr:cNvPr id="3" name="Group 2">
            <a:extLst>
              <a:ext uri="{FF2B5EF4-FFF2-40B4-BE49-F238E27FC236}">
                <a16:creationId xmlns:a16="http://schemas.microsoft.com/office/drawing/2014/main" id="{972E5291-4031-C0FD-3DC0-B2DE8C85E051}"/>
              </a:ext>
            </a:extLst>
          </xdr:cNvPr>
          <xdr:cNvGrpSpPr/>
        </xdr:nvGrpSpPr>
        <xdr:grpSpPr>
          <a:xfrm>
            <a:off x="167640" y="106680"/>
            <a:ext cx="12115800" cy="7124700"/>
            <a:chOff x="167640" y="106680"/>
            <a:chExt cx="12115800" cy="6690360"/>
          </a:xfrm>
        </xdr:grpSpPr>
        <xdr:sp macro="" textlink="">
          <xdr:nvSpPr>
            <xdr:cNvPr id="13" name="Rectangle: Rounded Corners 12">
              <a:extLst>
                <a:ext uri="{FF2B5EF4-FFF2-40B4-BE49-F238E27FC236}">
                  <a16:creationId xmlns:a16="http://schemas.microsoft.com/office/drawing/2014/main" id="{F3CA8042-ABE8-0764-AF20-00EBD4BAD7CB}"/>
                </a:ext>
              </a:extLst>
            </xdr:cNvPr>
            <xdr:cNvSpPr/>
          </xdr:nvSpPr>
          <xdr:spPr>
            <a:xfrm>
              <a:off x="167640" y="106680"/>
              <a:ext cx="12115800" cy="6690360"/>
            </a:xfrm>
            <a:prstGeom prst="roundRect">
              <a:avLst>
                <a:gd name="adj" fmla="val 0"/>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Rectangle: Rounded Corners 1">
              <a:extLst>
                <a:ext uri="{FF2B5EF4-FFF2-40B4-BE49-F238E27FC236}">
                  <a16:creationId xmlns:a16="http://schemas.microsoft.com/office/drawing/2014/main" id="{A3DEF7D6-3D07-F75A-EE08-023011FAC6B9}"/>
                </a:ext>
              </a:extLst>
            </xdr:cNvPr>
            <xdr:cNvSpPr/>
          </xdr:nvSpPr>
          <xdr:spPr>
            <a:xfrm>
              <a:off x="10355580" y="152400"/>
              <a:ext cx="1844040" cy="6530340"/>
            </a:xfrm>
            <a:prstGeom prst="roundRect">
              <a:avLst/>
            </a:prstGeom>
            <a:solidFill>
              <a:schemeClr val="accent5">
                <a:lumMod val="5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mc:AlternateContent xmlns:mc="http://schemas.openxmlformats.org/markup-compatibility/2006" xmlns:a14="http://schemas.microsoft.com/office/drawing/2010/main">
        <mc:Choice Requires="a14">
          <xdr:graphicFrame macro="">
            <xdr:nvGraphicFramePr>
              <xdr:cNvPr id="5" name="Merchant Type 1">
                <a:extLst>
                  <a:ext uri="{FF2B5EF4-FFF2-40B4-BE49-F238E27FC236}">
                    <a16:creationId xmlns:a16="http://schemas.microsoft.com/office/drawing/2014/main" id="{79A9FA88-F046-4D39-BCD3-C6C3838402F7}"/>
                  </a:ext>
                </a:extLst>
              </xdr:cNvPr>
              <xdr:cNvGraphicFramePr/>
            </xdr:nvGraphicFramePr>
            <xdr:xfrm>
              <a:off x="10401300" y="426721"/>
              <a:ext cx="1744980" cy="1889759"/>
            </xdr:xfrm>
            <a:graphic>
              <a:graphicData uri="http://schemas.microsoft.com/office/drawing/2010/slicer">
                <sle:slicer xmlns:sle="http://schemas.microsoft.com/office/drawing/2010/slicer" name="Merchant Type 1"/>
              </a:graphicData>
            </a:graphic>
          </xdr:graphicFrame>
        </mc:Choice>
        <mc:Fallback xmlns="">
          <xdr:sp macro="" textlink="">
            <xdr:nvSpPr>
              <xdr:cNvPr id="0" name=""/>
              <xdr:cNvSpPr>
                <a:spLocks noTextEdit="1"/>
              </xdr:cNvSpPr>
            </xdr:nvSpPr>
            <xdr:spPr>
              <a:xfrm>
                <a:off x="10401300" y="432122"/>
                <a:ext cx="1744980" cy="19216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04AF4DBE-52D2-4B00-84E2-222F8C1CEC88}"/>
                  </a:ext>
                </a:extLst>
              </xdr:cNvPr>
              <xdr:cNvGraphicFramePr/>
            </xdr:nvGraphicFramePr>
            <xdr:xfrm>
              <a:off x="10401300" y="2354581"/>
              <a:ext cx="1760220" cy="192786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401300" y="2392514"/>
                <a:ext cx="1760220" cy="1960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Card Type 1">
                <a:extLst>
                  <a:ext uri="{FF2B5EF4-FFF2-40B4-BE49-F238E27FC236}">
                    <a16:creationId xmlns:a16="http://schemas.microsoft.com/office/drawing/2014/main" id="{364869F5-6821-4CC4-9A2C-4B28E2087B42}"/>
                  </a:ext>
                </a:extLst>
              </xdr:cNvPr>
              <xdr:cNvGraphicFramePr/>
            </xdr:nvGraphicFramePr>
            <xdr:xfrm>
              <a:off x="10393680" y="4290061"/>
              <a:ext cx="1767840" cy="1455419"/>
            </xdr:xfrm>
            <a:graphic>
              <a:graphicData uri="http://schemas.microsoft.com/office/drawing/2010/slicer">
                <sle:slicer xmlns:sle="http://schemas.microsoft.com/office/drawing/2010/slicer" name="Card Type 1"/>
              </a:graphicData>
            </a:graphic>
          </xdr:graphicFrame>
        </mc:Choice>
        <mc:Fallback xmlns="">
          <xdr:sp macro="" textlink="">
            <xdr:nvSpPr>
              <xdr:cNvPr id="0" name=""/>
              <xdr:cNvSpPr>
                <a:spLocks noTextEdit="1"/>
              </xdr:cNvSpPr>
            </xdr:nvSpPr>
            <xdr:spPr>
              <a:xfrm>
                <a:off x="10393680" y="4360654"/>
                <a:ext cx="1767840" cy="1479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Risk Level 1">
                <a:extLst>
                  <a:ext uri="{FF2B5EF4-FFF2-40B4-BE49-F238E27FC236}">
                    <a16:creationId xmlns:a16="http://schemas.microsoft.com/office/drawing/2014/main" id="{CECA4BE2-2913-43E5-BC05-ACC30488E376}"/>
                  </a:ext>
                </a:extLst>
              </xdr:cNvPr>
              <xdr:cNvGraphicFramePr/>
            </xdr:nvGraphicFramePr>
            <xdr:xfrm>
              <a:off x="10416540" y="5783580"/>
              <a:ext cx="1729740" cy="1142999"/>
            </xdr:xfrm>
            <a:graphic>
              <a:graphicData uri="http://schemas.microsoft.com/office/drawing/2010/slicer">
                <sle:slicer xmlns:sle="http://schemas.microsoft.com/office/drawing/2010/slicer" name="Risk Level 1"/>
              </a:graphicData>
            </a:graphic>
          </xdr:graphicFrame>
        </mc:Choice>
        <mc:Fallback xmlns="">
          <xdr:sp macro="" textlink="">
            <xdr:nvSpPr>
              <xdr:cNvPr id="0" name=""/>
              <xdr:cNvSpPr>
                <a:spLocks noTextEdit="1"/>
              </xdr:cNvSpPr>
            </xdr:nvSpPr>
            <xdr:spPr>
              <a:xfrm>
                <a:off x="10416540" y="5879376"/>
                <a:ext cx="1729740" cy="1162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38100</xdr:colOff>
      <xdr:row>0</xdr:row>
      <xdr:rowOff>137160</xdr:rowOff>
    </xdr:from>
    <xdr:to>
      <xdr:col>4</xdr:col>
      <xdr:colOff>525780</xdr:colOff>
      <xdr:row>3</xdr:row>
      <xdr:rowOff>68580</xdr:rowOff>
    </xdr:to>
    <xdr:sp macro="" textlink="">
      <xdr:nvSpPr>
        <xdr:cNvPr id="21" name="Rectangle: Rounded Corners 20">
          <a:hlinkClick xmlns:r="http://schemas.openxmlformats.org/officeDocument/2006/relationships" r:id="rId1"/>
          <a:extLst>
            <a:ext uri="{FF2B5EF4-FFF2-40B4-BE49-F238E27FC236}">
              <a16:creationId xmlns:a16="http://schemas.microsoft.com/office/drawing/2014/main" id="{8CEDECA4-00CD-7779-48B1-0B75F820E60D}"/>
            </a:ext>
          </a:extLst>
        </xdr:cNvPr>
        <xdr:cNvSpPr/>
      </xdr:nvSpPr>
      <xdr:spPr>
        <a:xfrm>
          <a:off x="647700" y="137160"/>
          <a:ext cx="2316480" cy="480060"/>
        </a:xfrm>
        <a:prstGeom prst="roundRect">
          <a:avLst/>
        </a:prstGeom>
        <a:solidFill>
          <a:schemeClr val="accent5">
            <a:lumMod val="5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Overview</a:t>
          </a:r>
        </a:p>
      </xdr:txBody>
    </xdr:sp>
    <xdr:clientData/>
  </xdr:twoCellAnchor>
  <xdr:twoCellAnchor>
    <xdr:from>
      <xdr:col>5</xdr:col>
      <xdr:colOff>335280</xdr:colOff>
      <xdr:row>0</xdr:row>
      <xdr:rowOff>144780</xdr:rowOff>
    </xdr:from>
    <xdr:to>
      <xdr:col>11</xdr:col>
      <xdr:colOff>388620</xdr:colOff>
      <xdr:row>3</xdr:row>
      <xdr:rowOff>76200</xdr:rowOff>
    </xdr:to>
    <xdr:sp macro="" textlink="">
      <xdr:nvSpPr>
        <xdr:cNvPr id="22" name="Rectangle: Rounded Corners 21">
          <a:hlinkClick xmlns:r="http://schemas.openxmlformats.org/officeDocument/2006/relationships" r:id="rId2"/>
          <a:extLst>
            <a:ext uri="{FF2B5EF4-FFF2-40B4-BE49-F238E27FC236}">
              <a16:creationId xmlns:a16="http://schemas.microsoft.com/office/drawing/2014/main" id="{3E7C099D-F530-4DB9-A4FF-D2ADACC3B4DE}"/>
            </a:ext>
          </a:extLst>
        </xdr:cNvPr>
        <xdr:cNvSpPr/>
      </xdr:nvSpPr>
      <xdr:spPr>
        <a:xfrm>
          <a:off x="3383280" y="144780"/>
          <a:ext cx="3710940" cy="480060"/>
        </a:xfrm>
        <a:prstGeom prst="roundRect">
          <a:avLst/>
        </a:prstGeom>
        <a:solidFill>
          <a:schemeClr val="accent5">
            <a:lumMod val="5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1">
              <a:solidFill>
                <a:schemeClr val="lt1"/>
              </a:solidFill>
              <a:latin typeface="+mn-lt"/>
              <a:ea typeface="+mn-ea"/>
              <a:cs typeface="+mn-cs"/>
            </a:rPr>
            <a:t>Brian Card Fraud Risk Dashboard</a:t>
          </a:r>
        </a:p>
      </xdr:txBody>
    </xdr:sp>
    <xdr:clientData/>
  </xdr:twoCellAnchor>
  <xdr:twoCellAnchor>
    <xdr:from>
      <xdr:col>12</xdr:col>
      <xdr:colOff>213360</xdr:colOff>
      <xdr:row>0</xdr:row>
      <xdr:rowOff>137160</xdr:rowOff>
    </xdr:from>
    <xdr:to>
      <xdr:col>16</xdr:col>
      <xdr:colOff>91440</xdr:colOff>
      <xdr:row>3</xdr:row>
      <xdr:rowOff>68580</xdr:rowOff>
    </xdr:to>
    <xdr:sp macro="" textlink="">
      <xdr:nvSpPr>
        <xdr:cNvPr id="23" name="Rectangle: Rounded Corners 22">
          <a:hlinkClick xmlns:r="http://schemas.openxmlformats.org/officeDocument/2006/relationships" r:id="rId3"/>
          <a:extLst>
            <a:ext uri="{FF2B5EF4-FFF2-40B4-BE49-F238E27FC236}">
              <a16:creationId xmlns:a16="http://schemas.microsoft.com/office/drawing/2014/main" id="{990D48FF-EA10-4D28-92CC-7C0AD57C4359}"/>
            </a:ext>
          </a:extLst>
        </xdr:cNvPr>
        <xdr:cNvSpPr/>
      </xdr:nvSpPr>
      <xdr:spPr>
        <a:xfrm>
          <a:off x="7528560" y="137160"/>
          <a:ext cx="2316480" cy="480060"/>
        </a:xfrm>
        <a:prstGeom prst="roundRect">
          <a:avLst/>
        </a:prstGeom>
        <a:solidFill>
          <a:schemeClr val="accent5">
            <a:lumMod val="5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Detailed</a:t>
          </a:r>
          <a:r>
            <a:rPr lang="en-US" sz="2000" b="1" baseline="0"/>
            <a:t> Summary</a:t>
          </a:r>
          <a:endParaRPr lang="en-US" sz="2000" b="1"/>
        </a:p>
      </xdr:txBody>
    </xdr:sp>
    <xdr:clientData/>
  </xdr:twoCellAnchor>
  <xdr:twoCellAnchor>
    <xdr:from>
      <xdr:col>0</xdr:col>
      <xdr:colOff>358140</xdr:colOff>
      <xdr:row>7</xdr:row>
      <xdr:rowOff>68580</xdr:rowOff>
    </xdr:from>
    <xdr:to>
      <xdr:col>7</xdr:col>
      <xdr:colOff>594360</xdr:colOff>
      <xdr:row>21</xdr:row>
      <xdr:rowOff>169334</xdr:rowOff>
    </xdr:to>
    <xdr:graphicFrame macro="">
      <xdr:nvGraphicFramePr>
        <xdr:cNvPr id="31" name="Chart 30">
          <a:extLst>
            <a:ext uri="{FF2B5EF4-FFF2-40B4-BE49-F238E27FC236}">
              <a16:creationId xmlns:a16="http://schemas.microsoft.com/office/drawing/2014/main" id="{FA5056EB-E1CF-41B1-80CC-C9BA8D87F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38100</xdr:colOff>
      <xdr:row>7</xdr:row>
      <xdr:rowOff>60959</xdr:rowOff>
    </xdr:from>
    <xdr:to>
      <xdr:col>16</xdr:col>
      <xdr:colOff>533400</xdr:colOff>
      <xdr:row>21</xdr:row>
      <xdr:rowOff>160866</xdr:rowOff>
    </xdr:to>
    <xdr:graphicFrame macro="">
      <xdr:nvGraphicFramePr>
        <xdr:cNvPr id="32" name="Chart 31">
          <a:extLst>
            <a:ext uri="{FF2B5EF4-FFF2-40B4-BE49-F238E27FC236}">
              <a16:creationId xmlns:a16="http://schemas.microsoft.com/office/drawing/2014/main" id="{D6FB930E-39F5-4117-83A9-3601FB9FE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358140</xdr:colOff>
      <xdr:row>22</xdr:row>
      <xdr:rowOff>33867</xdr:rowOff>
    </xdr:from>
    <xdr:to>
      <xdr:col>7</xdr:col>
      <xdr:colOff>594360</xdr:colOff>
      <xdr:row>37</xdr:row>
      <xdr:rowOff>118533</xdr:rowOff>
    </xdr:to>
    <xdr:graphicFrame macro="">
      <xdr:nvGraphicFramePr>
        <xdr:cNvPr id="33" name="Chart 32">
          <a:extLst>
            <a:ext uri="{FF2B5EF4-FFF2-40B4-BE49-F238E27FC236}">
              <a16:creationId xmlns:a16="http://schemas.microsoft.com/office/drawing/2014/main" id="{F12294E5-8644-4BB7-89CC-610B65E73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38100</xdr:colOff>
      <xdr:row>22</xdr:row>
      <xdr:rowOff>33867</xdr:rowOff>
    </xdr:from>
    <xdr:to>
      <xdr:col>16</xdr:col>
      <xdr:colOff>541020</xdr:colOff>
      <xdr:row>37</xdr:row>
      <xdr:rowOff>126999</xdr:rowOff>
    </xdr:to>
    <xdr:graphicFrame macro="">
      <xdr:nvGraphicFramePr>
        <xdr:cNvPr id="34" name="Chart 33">
          <a:extLst>
            <a:ext uri="{FF2B5EF4-FFF2-40B4-BE49-F238E27FC236}">
              <a16:creationId xmlns:a16="http://schemas.microsoft.com/office/drawing/2014/main" id="{0A55E996-19BB-4B58-A2C1-FD83E6BA7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259080</xdr:colOff>
      <xdr:row>3</xdr:row>
      <xdr:rowOff>144780</xdr:rowOff>
    </xdr:from>
    <xdr:to>
      <xdr:col>4</xdr:col>
      <xdr:colOff>556260</xdr:colOff>
      <xdr:row>7</xdr:row>
      <xdr:rowOff>15240</xdr:rowOff>
    </xdr:to>
    <xdr:grpSp>
      <xdr:nvGrpSpPr>
        <xdr:cNvPr id="37" name="Group 36">
          <a:extLst>
            <a:ext uri="{FF2B5EF4-FFF2-40B4-BE49-F238E27FC236}">
              <a16:creationId xmlns:a16="http://schemas.microsoft.com/office/drawing/2014/main" id="{EBFD00D0-6B1E-89CE-8614-29A91C77049A}"/>
            </a:ext>
          </a:extLst>
        </xdr:cNvPr>
        <xdr:cNvGrpSpPr/>
      </xdr:nvGrpSpPr>
      <xdr:grpSpPr>
        <a:xfrm>
          <a:off x="868680" y="703580"/>
          <a:ext cx="2125980" cy="615527"/>
          <a:chOff x="868680" y="693420"/>
          <a:chExt cx="2125980" cy="601980"/>
        </a:xfrm>
        <a:solidFill>
          <a:schemeClr val="accent5">
            <a:lumMod val="50000"/>
          </a:schemeClr>
        </a:solidFill>
        <a:effectLst>
          <a:outerShdw blurRad="50800" dist="38100" dir="2700000" algn="tl" rotWithShape="0">
            <a:prstClr val="black">
              <a:alpha val="40000"/>
            </a:prstClr>
          </a:outerShdw>
        </a:effectLst>
      </xdr:grpSpPr>
      <xdr:sp macro="" textlink="">
        <xdr:nvSpPr>
          <xdr:cNvPr id="35" name="Rectangle: Rounded Corners 34">
            <a:extLst>
              <a:ext uri="{FF2B5EF4-FFF2-40B4-BE49-F238E27FC236}">
                <a16:creationId xmlns:a16="http://schemas.microsoft.com/office/drawing/2014/main" id="{B43110FF-D01D-F35C-0CC6-DBA355788C85}"/>
              </a:ext>
            </a:extLst>
          </xdr:cNvPr>
          <xdr:cNvSpPr/>
        </xdr:nvSpPr>
        <xdr:spPr>
          <a:xfrm>
            <a:off x="868680" y="693420"/>
            <a:ext cx="2125980" cy="601980"/>
          </a:xfrm>
          <a:prstGeom prst="roundRect">
            <a:avLst/>
          </a:prstGeom>
          <a:grp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Transactions</a:t>
            </a:r>
          </a:p>
        </xdr:txBody>
      </xdr:sp>
      <xdr:sp macro="" textlink="PivotBase!B31">
        <xdr:nvSpPr>
          <xdr:cNvPr id="36" name="TextBox 35">
            <a:extLst>
              <a:ext uri="{FF2B5EF4-FFF2-40B4-BE49-F238E27FC236}">
                <a16:creationId xmlns:a16="http://schemas.microsoft.com/office/drawing/2014/main" id="{76CD713C-F0C0-200B-6004-4B2C7CA81F72}"/>
              </a:ext>
            </a:extLst>
          </xdr:cNvPr>
          <xdr:cNvSpPr txBox="1"/>
        </xdr:nvSpPr>
        <xdr:spPr>
          <a:xfrm>
            <a:off x="1043940" y="975360"/>
            <a:ext cx="1790700" cy="228600"/>
          </a:xfrm>
          <a:prstGeom prst="rect">
            <a:avLst/>
          </a:prstGeom>
          <a:solidFill>
            <a:schemeClr val="accent5">
              <a:lumMod val="50000"/>
            </a:schemeClr>
          </a:solidFill>
          <a:ln>
            <a:noFill/>
          </a:ln>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ctr"/>
            <a:fld id="{0E78BFE1-C800-4863-AB61-254561EBA8DF}" type="TxLink">
              <a:rPr lang="en-US" sz="1100" b="1" i="0" u="none" strike="noStrike">
                <a:solidFill>
                  <a:schemeClr val="bg1"/>
                </a:solidFill>
                <a:latin typeface="Calibri"/>
                <a:ea typeface="Calibri"/>
                <a:cs typeface="Calibri"/>
              </a:rPr>
              <a:pPr algn="ctr"/>
              <a:t>15200</a:t>
            </a:fld>
            <a:endParaRPr lang="en-US" sz="1100" b="1">
              <a:solidFill>
                <a:schemeClr val="bg1"/>
              </a:solidFill>
            </a:endParaRPr>
          </a:p>
        </xdr:txBody>
      </xdr:sp>
    </xdr:grpSp>
    <xdr:clientData/>
  </xdr:twoCellAnchor>
  <xdr:twoCellAnchor>
    <xdr:from>
      <xdr:col>5</xdr:col>
      <xdr:colOff>228600</xdr:colOff>
      <xdr:row>3</xdr:row>
      <xdr:rowOff>129540</xdr:rowOff>
    </xdr:from>
    <xdr:to>
      <xdr:col>8</xdr:col>
      <xdr:colOff>525780</xdr:colOff>
      <xdr:row>7</xdr:row>
      <xdr:rowOff>0</xdr:rowOff>
    </xdr:to>
    <xdr:grpSp>
      <xdr:nvGrpSpPr>
        <xdr:cNvPr id="38" name="Group 37">
          <a:extLst>
            <a:ext uri="{FF2B5EF4-FFF2-40B4-BE49-F238E27FC236}">
              <a16:creationId xmlns:a16="http://schemas.microsoft.com/office/drawing/2014/main" id="{4804F027-91E1-491E-9729-09FD8CDDDD70}"/>
            </a:ext>
          </a:extLst>
        </xdr:cNvPr>
        <xdr:cNvGrpSpPr/>
      </xdr:nvGrpSpPr>
      <xdr:grpSpPr>
        <a:xfrm>
          <a:off x="3276600" y="688340"/>
          <a:ext cx="2125980" cy="615527"/>
          <a:chOff x="868680" y="693420"/>
          <a:chExt cx="2125980" cy="601980"/>
        </a:xfrm>
        <a:solidFill>
          <a:schemeClr val="accent5">
            <a:lumMod val="50000"/>
          </a:schemeClr>
        </a:solidFill>
        <a:effectLst>
          <a:outerShdw blurRad="50800" dist="38100" dir="2700000" algn="tl" rotWithShape="0">
            <a:prstClr val="black">
              <a:alpha val="40000"/>
            </a:prstClr>
          </a:outerShdw>
        </a:effectLst>
      </xdr:grpSpPr>
      <xdr:sp macro="" textlink="">
        <xdr:nvSpPr>
          <xdr:cNvPr id="39" name="Rectangle: Rounded Corners 38">
            <a:extLst>
              <a:ext uri="{FF2B5EF4-FFF2-40B4-BE49-F238E27FC236}">
                <a16:creationId xmlns:a16="http://schemas.microsoft.com/office/drawing/2014/main" id="{ED0E8B5A-C50B-44E2-D60C-533355FE02E1}"/>
              </a:ext>
            </a:extLst>
          </xdr:cNvPr>
          <xdr:cNvSpPr/>
        </xdr:nvSpPr>
        <xdr:spPr>
          <a:xfrm>
            <a:off x="868680" y="693420"/>
            <a:ext cx="2125980" cy="601980"/>
          </a:xfrm>
          <a:prstGeom prst="roundRect">
            <a:avLst/>
          </a:prstGeom>
          <a:solidFill>
            <a:schemeClr val="accent5">
              <a:lumMod val="50000"/>
            </a:schemeClr>
          </a:solidFill>
          <a:ln>
            <a:noFill/>
          </a:ln>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lgn="ctr"/>
            <a:r>
              <a:rPr lang="en-US" sz="1100" b="1" i="0" u="none" strike="noStrike">
                <a:solidFill>
                  <a:schemeClr val="bg1"/>
                </a:solidFill>
                <a:latin typeface="Calibri"/>
                <a:ea typeface="Calibri"/>
                <a:cs typeface="Calibri"/>
              </a:rPr>
              <a:t>Total Fraud Transactions</a:t>
            </a:r>
          </a:p>
        </xdr:txBody>
      </xdr:sp>
      <xdr:sp macro="" textlink="PivotBase!B32">
        <xdr:nvSpPr>
          <xdr:cNvPr id="40" name="TextBox 39">
            <a:extLst>
              <a:ext uri="{FF2B5EF4-FFF2-40B4-BE49-F238E27FC236}">
                <a16:creationId xmlns:a16="http://schemas.microsoft.com/office/drawing/2014/main" id="{2ABAC65D-8184-D360-AE1E-F828B798EB42}"/>
              </a:ext>
            </a:extLst>
          </xdr:cNvPr>
          <xdr:cNvSpPr txBox="1"/>
        </xdr:nvSpPr>
        <xdr:spPr>
          <a:xfrm>
            <a:off x="1043940" y="975360"/>
            <a:ext cx="1790700" cy="228600"/>
          </a:xfrm>
          <a:prstGeom prst="rect">
            <a:avLst/>
          </a:prstGeom>
          <a:solidFill>
            <a:schemeClr val="accent5">
              <a:lumMod val="50000"/>
            </a:schemeClr>
          </a:solidFill>
          <a:ln>
            <a:noFill/>
          </a:ln>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lgn="ctr"/>
            <a:fld id="{7FF47222-5E0F-4122-8AB8-423649A6BFB6}" type="TxLink">
              <a:rPr lang="en-US" sz="1100" b="1" i="0" u="none" strike="noStrike">
                <a:solidFill>
                  <a:schemeClr val="bg1"/>
                </a:solidFill>
                <a:latin typeface="Calibri"/>
                <a:ea typeface="Calibri"/>
                <a:cs typeface="Calibri"/>
              </a:rPr>
              <a:pPr marL="0" indent="0" algn="ctr"/>
              <a:t>7646</a:t>
            </a:fld>
            <a:endParaRPr lang="en-US" sz="1100" b="1" i="0" u="none" strike="noStrike">
              <a:solidFill>
                <a:schemeClr val="bg1"/>
              </a:solidFill>
              <a:latin typeface="Calibri"/>
              <a:ea typeface="Calibri"/>
              <a:cs typeface="Calibri"/>
            </a:endParaRPr>
          </a:p>
        </xdr:txBody>
      </xdr:sp>
    </xdr:grpSp>
    <xdr:clientData/>
  </xdr:twoCellAnchor>
  <xdr:twoCellAnchor>
    <xdr:from>
      <xdr:col>9</xdr:col>
      <xdr:colOff>198120</xdr:colOff>
      <xdr:row>3</xdr:row>
      <xdr:rowOff>137160</xdr:rowOff>
    </xdr:from>
    <xdr:to>
      <xdr:col>12</xdr:col>
      <xdr:colOff>495300</xdr:colOff>
      <xdr:row>7</xdr:row>
      <xdr:rowOff>7620</xdr:rowOff>
    </xdr:to>
    <xdr:grpSp>
      <xdr:nvGrpSpPr>
        <xdr:cNvPr id="41" name="Group 40">
          <a:extLst>
            <a:ext uri="{FF2B5EF4-FFF2-40B4-BE49-F238E27FC236}">
              <a16:creationId xmlns:a16="http://schemas.microsoft.com/office/drawing/2014/main" id="{37115A5B-FB4A-46CA-A146-781C16BBC392}"/>
            </a:ext>
          </a:extLst>
        </xdr:cNvPr>
        <xdr:cNvGrpSpPr/>
      </xdr:nvGrpSpPr>
      <xdr:grpSpPr>
        <a:xfrm>
          <a:off x="5684520" y="695960"/>
          <a:ext cx="2125980" cy="615527"/>
          <a:chOff x="868680" y="693420"/>
          <a:chExt cx="2125980" cy="601980"/>
        </a:xfrm>
        <a:solidFill>
          <a:schemeClr val="accent5">
            <a:lumMod val="50000"/>
          </a:schemeClr>
        </a:solidFill>
        <a:effectLst>
          <a:outerShdw blurRad="50800" dist="38100" dir="2700000" algn="tl" rotWithShape="0">
            <a:prstClr val="black">
              <a:alpha val="40000"/>
            </a:prstClr>
          </a:outerShdw>
        </a:effectLst>
      </xdr:grpSpPr>
      <xdr:sp macro="" textlink="">
        <xdr:nvSpPr>
          <xdr:cNvPr id="42" name="Rectangle: Rounded Corners 41">
            <a:extLst>
              <a:ext uri="{FF2B5EF4-FFF2-40B4-BE49-F238E27FC236}">
                <a16:creationId xmlns:a16="http://schemas.microsoft.com/office/drawing/2014/main" id="{41EFE8EE-043D-2B20-ABC7-36652868EA5C}"/>
              </a:ext>
            </a:extLst>
          </xdr:cNvPr>
          <xdr:cNvSpPr/>
        </xdr:nvSpPr>
        <xdr:spPr>
          <a:xfrm>
            <a:off x="868680" y="693420"/>
            <a:ext cx="2125980" cy="601980"/>
          </a:xfrm>
          <a:prstGeom prst="roundRect">
            <a:avLst/>
          </a:prstGeom>
          <a:solidFill>
            <a:schemeClr val="accent5">
              <a:lumMod val="50000"/>
            </a:schemeClr>
          </a:solidFill>
          <a:ln>
            <a:noFill/>
          </a:ln>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lgn="ctr"/>
            <a:r>
              <a:rPr lang="en-US" sz="1100" b="1" i="0" u="none" strike="noStrike">
                <a:solidFill>
                  <a:schemeClr val="bg1"/>
                </a:solidFill>
                <a:latin typeface="Calibri"/>
                <a:ea typeface="Calibri"/>
                <a:cs typeface="Calibri"/>
              </a:rPr>
              <a:t>Fraud Rate %</a:t>
            </a:r>
          </a:p>
        </xdr:txBody>
      </xdr:sp>
      <xdr:sp macro="" textlink="PivotBase!B33">
        <xdr:nvSpPr>
          <xdr:cNvPr id="43" name="TextBox 42">
            <a:extLst>
              <a:ext uri="{FF2B5EF4-FFF2-40B4-BE49-F238E27FC236}">
                <a16:creationId xmlns:a16="http://schemas.microsoft.com/office/drawing/2014/main" id="{85227EC4-C26E-66FD-E48F-ED96CC22A531}"/>
              </a:ext>
            </a:extLst>
          </xdr:cNvPr>
          <xdr:cNvSpPr txBox="1"/>
        </xdr:nvSpPr>
        <xdr:spPr>
          <a:xfrm>
            <a:off x="1043940" y="975360"/>
            <a:ext cx="1790700" cy="228600"/>
          </a:xfrm>
          <a:prstGeom prst="rect">
            <a:avLst/>
          </a:prstGeom>
          <a:solidFill>
            <a:schemeClr val="accent5">
              <a:lumMod val="50000"/>
            </a:schemeClr>
          </a:solidFill>
          <a:ln>
            <a:noFill/>
          </a:ln>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lgn="ctr"/>
            <a:fld id="{C804827A-0ACB-4C23-8EAF-28667BEBA8A9}" type="TxLink">
              <a:rPr lang="en-US" sz="1100" b="1" i="0" u="none" strike="noStrike">
                <a:solidFill>
                  <a:schemeClr val="bg1"/>
                </a:solidFill>
                <a:latin typeface="Calibri"/>
                <a:ea typeface="Calibri"/>
                <a:cs typeface="Calibri"/>
              </a:rPr>
              <a:pPr marL="0" indent="0" algn="ctr"/>
              <a:t>50.3%</a:t>
            </a:fld>
            <a:endParaRPr lang="en-US" sz="1100" b="1" i="0" u="none" strike="noStrike">
              <a:solidFill>
                <a:schemeClr val="bg1"/>
              </a:solidFill>
              <a:latin typeface="Calibri"/>
              <a:ea typeface="Calibri"/>
              <a:cs typeface="Calibri"/>
            </a:endParaRPr>
          </a:p>
        </xdr:txBody>
      </xdr:sp>
    </xdr:grpSp>
    <xdr:clientData/>
  </xdr:twoCellAnchor>
  <xdr:twoCellAnchor>
    <xdr:from>
      <xdr:col>13</xdr:col>
      <xdr:colOff>167640</xdr:colOff>
      <xdr:row>3</xdr:row>
      <xdr:rowOff>137160</xdr:rowOff>
    </xdr:from>
    <xdr:to>
      <xdr:col>16</xdr:col>
      <xdr:colOff>464820</xdr:colOff>
      <xdr:row>7</xdr:row>
      <xdr:rowOff>7620</xdr:rowOff>
    </xdr:to>
    <xdr:grpSp>
      <xdr:nvGrpSpPr>
        <xdr:cNvPr id="44" name="Group 43">
          <a:extLst>
            <a:ext uri="{FF2B5EF4-FFF2-40B4-BE49-F238E27FC236}">
              <a16:creationId xmlns:a16="http://schemas.microsoft.com/office/drawing/2014/main" id="{2CAE8DB0-8C55-4EF6-BE24-102338ED8C9B}"/>
            </a:ext>
          </a:extLst>
        </xdr:cNvPr>
        <xdr:cNvGrpSpPr/>
      </xdr:nvGrpSpPr>
      <xdr:grpSpPr>
        <a:xfrm>
          <a:off x="8092440" y="695960"/>
          <a:ext cx="2125980" cy="615527"/>
          <a:chOff x="868680" y="693420"/>
          <a:chExt cx="2125980" cy="601980"/>
        </a:xfrm>
        <a:solidFill>
          <a:schemeClr val="accent5">
            <a:lumMod val="50000"/>
          </a:schemeClr>
        </a:solidFill>
        <a:effectLst>
          <a:outerShdw blurRad="50800" dist="38100" dir="2700000" algn="tl" rotWithShape="0">
            <a:prstClr val="black">
              <a:alpha val="40000"/>
            </a:prstClr>
          </a:outerShdw>
        </a:effectLst>
      </xdr:grpSpPr>
      <xdr:sp macro="" textlink="">
        <xdr:nvSpPr>
          <xdr:cNvPr id="45" name="Rectangle: Rounded Corners 44">
            <a:extLst>
              <a:ext uri="{FF2B5EF4-FFF2-40B4-BE49-F238E27FC236}">
                <a16:creationId xmlns:a16="http://schemas.microsoft.com/office/drawing/2014/main" id="{659F5886-B753-BE92-042A-284D1CCCB6FD}"/>
              </a:ext>
            </a:extLst>
          </xdr:cNvPr>
          <xdr:cNvSpPr/>
        </xdr:nvSpPr>
        <xdr:spPr>
          <a:xfrm>
            <a:off x="868680" y="693420"/>
            <a:ext cx="2125980" cy="601980"/>
          </a:xfrm>
          <a:prstGeom prst="roundRect">
            <a:avLst/>
          </a:prstGeom>
          <a:solidFill>
            <a:schemeClr val="accent5">
              <a:lumMod val="50000"/>
            </a:schemeClr>
          </a:solidFill>
          <a:ln>
            <a:noFill/>
          </a:ln>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lgn="ctr"/>
            <a:r>
              <a:rPr lang="en-US" sz="1100" b="1" i="0" u="none" strike="noStrike">
                <a:solidFill>
                  <a:schemeClr val="bg1"/>
                </a:solidFill>
                <a:latin typeface="Calibri"/>
                <a:ea typeface="Calibri"/>
                <a:cs typeface="Calibri"/>
              </a:rPr>
              <a:t>High-Risk Transactions %</a:t>
            </a:r>
          </a:p>
        </xdr:txBody>
      </xdr:sp>
      <xdr:sp macro="" textlink="PivotBase!B34">
        <xdr:nvSpPr>
          <xdr:cNvPr id="46" name="TextBox 45">
            <a:extLst>
              <a:ext uri="{FF2B5EF4-FFF2-40B4-BE49-F238E27FC236}">
                <a16:creationId xmlns:a16="http://schemas.microsoft.com/office/drawing/2014/main" id="{DF1A9A8D-DC47-17F6-B400-D7347EBDB8D4}"/>
              </a:ext>
            </a:extLst>
          </xdr:cNvPr>
          <xdr:cNvSpPr txBox="1"/>
        </xdr:nvSpPr>
        <xdr:spPr>
          <a:xfrm>
            <a:off x="1043940" y="975360"/>
            <a:ext cx="1790700" cy="228600"/>
          </a:xfrm>
          <a:prstGeom prst="rect">
            <a:avLst/>
          </a:prstGeom>
          <a:solidFill>
            <a:schemeClr val="accent5">
              <a:lumMod val="50000"/>
            </a:schemeClr>
          </a:solidFill>
          <a:ln>
            <a:noFill/>
          </a:ln>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lgn="ctr"/>
            <a:fld id="{7B9DFB0C-FC8B-4053-994E-EF399C1AD351}" type="TxLink">
              <a:rPr lang="en-US" sz="1100" b="1" i="0" u="none" strike="noStrike">
                <a:solidFill>
                  <a:schemeClr val="bg1"/>
                </a:solidFill>
                <a:latin typeface="Calibri"/>
                <a:ea typeface="Calibri"/>
                <a:cs typeface="Calibri"/>
              </a:rPr>
              <a:pPr marL="0" indent="0" algn="ctr"/>
              <a:t>33.4%</a:t>
            </a:fld>
            <a:endParaRPr lang="en-US" sz="1100" b="1" i="0" u="none" strike="noStrike">
              <a:solidFill>
                <a:schemeClr val="bg1"/>
              </a:solidFill>
              <a:latin typeface="Calibri"/>
              <a:ea typeface="Calibri"/>
              <a:cs typeface="Calibri"/>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112295</xdr:colOff>
      <xdr:row>0</xdr:row>
      <xdr:rowOff>24064</xdr:rowOff>
    </xdr:from>
    <xdr:to>
      <xdr:col>1</xdr:col>
      <xdr:colOff>489284</xdr:colOff>
      <xdr:row>4</xdr:row>
      <xdr:rowOff>8022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521056B7-615F-7A8E-5E58-7AA3017AC4B9}"/>
            </a:ext>
          </a:extLst>
        </xdr:cNvPr>
        <xdr:cNvSpPr/>
      </xdr:nvSpPr>
      <xdr:spPr>
        <a:xfrm>
          <a:off x="112295" y="24064"/>
          <a:ext cx="1251284" cy="537411"/>
        </a:xfrm>
        <a:prstGeom prst="leftArrow">
          <a:avLst>
            <a:gd name="adj1" fmla="val 50000"/>
            <a:gd name="adj2" fmla="val 70896"/>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Back</a:t>
          </a:r>
        </a:p>
      </xdr:txBody>
    </xdr:sp>
    <xdr:clientData/>
  </xdr:twoCellAnchor>
  <xdr:twoCellAnchor>
    <xdr:from>
      <xdr:col>16</xdr:col>
      <xdr:colOff>232611</xdr:colOff>
      <xdr:row>0</xdr:row>
      <xdr:rowOff>40105</xdr:rowOff>
    </xdr:from>
    <xdr:to>
      <xdr:col>17</xdr:col>
      <xdr:colOff>681790</xdr:colOff>
      <xdr:row>3</xdr:row>
      <xdr:rowOff>168442</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1942B65-2E27-6A3E-2E2A-42B6D0E219BF}"/>
            </a:ext>
          </a:extLst>
        </xdr:cNvPr>
        <xdr:cNvSpPr/>
      </xdr:nvSpPr>
      <xdr:spPr>
        <a:xfrm>
          <a:off x="13507453" y="40105"/>
          <a:ext cx="1251284" cy="68179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Next</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2.653272685187" backgroundQuery="1" createdVersion="8" refreshedVersion="8" minRefreshableVersion="3" recordCount="0" supportSubquery="1" supportAdvancedDrill="1" xr:uid="{684290E5-8D62-4E68-ACFA-27A4B775A764}">
  <cacheSource type="external" connectionId="4"/>
  <cacheFields count="5">
    <cacheField name="[Transactions].[Merchant Type].[Merchant Type]" caption="Merchant Type" numFmtId="0" hierarchy="8" level="1">
      <sharedItems count="6">
        <s v="Dining"/>
        <s v="Electronics"/>
        <s v="Grocery"/>
        <s v="Online"/>
        <s v="Retail"/>
        <s v="Travel"/>
      </sharedItems>
    </cacheField>
    <cacheField name="[Transactions].[Card Type].[Card Type]" caption="Card Type" numFmtId="0" hierarchy="4" level="1">
      <sharedItems count="4">
        <s v="Charge"/>
        <s v="Credit"/>
        <s v="Debit"/>
        <s v="Prepaid"/>
      </sharedItems>
    </cacheField>
    <cacheField name="[Measures].[Total Txn Count]" caption="Total Txn Count" numFmtId="0" hierarchy="16" level="32767"/>
    <cacheField name="[Measures].[Fraud Txns]" caption="Fraud Txns" numFmtId="0" hierarchy="13" level="32767"/>
    <cacheField name="[Measures].[Fraud Rate %]" caption="Fraud Rate %" numFmtId="0" hierarchy="14" level="32767"/>
  </cacheFields>
  <cacheHierarchies count="37">
    <cacheHierarchy uniqueName="[RiskDim].[Risk Level]" caption="Risk Level" attribute="1" defaultMemberUniqueName="[RiskDim].[Risk Level].[All]" allUniqueName="[RiskDim].[Risk Level].[All]" dimensionUniqueName="[RiskDim]" displayFolder="" count="0" memberValueDatatype="130" unbalanced="0"/>
    <cacheHierarchy uniqueName="[RiskDim].[Risk Sort]" caption="Risk Sort" attribute="1" defaultMemberUniqueName="[RiskDim].[Risk Sort].[All]" allUniqueName="[RiskDim].[Risk Sort].[All]" dimensionUniqueName="[RiskDim]" displayFolder="" count="0" memberValueDatatype="2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ard ID]" caption="Card ID" attribute="1" defaultMemberUniqueName="[Transactions].[Card ID].[All]" allUniqueName="[Transactions].[Card ID].[All]" dimensionUniqueName="[Transactions]" displayFolder="" count="0" memberValueDatatype="130" unbalanced="0"/>
    <cacheHierarchy uniqueName="[Transactions].[Card Type]" caption="Card Type" attribute="1" defaultMemberUniqueName="[Transactions].[Card Type].[All]" allUniqueName="[Transactions].[Card Type].[All]" dimensionUniqueName="[Transactions]" displayFolder="" count="2" memberValueDatatype="130" unbalanced="0">
      <fieldsUsage count="2">
        <fieldUsage x="-1"/>
        <fieldUsage x="1"/>
      </fieldsUsage>
    </cacheHierarchy>
    <cacheHierarchy uniqueName="[Transactions].[Amount Spent (USD)]" caption="Amount Spent (USD)" attribute="1" defaultMemberUniqueName="[Transactions].[Amount Spent (USD)].[All]" allUniqueName="[Transactions].[Amount Spent (USD)].[All]" dimensionUniqueName="[Transactions]" displayFolder="" count="0" memberValueDatatype="5" unbalanced="0"/>
    <cacheHierarchy uniqueName="[Transactions].[Transaction Count]" caption="Transaction Count" attribute="1" defaultMemberUniqueName="[Transactions].[Transaction Count].[All]" allUniqueName="[Transactions].[Transaction Count].[All]" dimensionUniqueName="[Transactions]" displayFolder="" count="0" memberValueDatatype="2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Merchant Type]" caption="Merchant Type" attribute="1" defaultMemberUniqueName="[Transactions].[Merchant Type].[All]" allUniqueName="[Transactions].[Merchant Type].[All]" dimensionUniqueName="[Transactions]" displayFolder="" count="2" memberValueDatatype="130" unbalanced="0">
      <fieldsUsage count="2">
        <fieldUsage x="-1"/>
        <fieldUsage x="0"/>
      </fieldsUsage>
    </cacheHierarchy>
    <cacheHierarchy uniqueName="[Transactions].[Risk Level]" caption="Risk Level" attribute="1" defaultMemberUniqueName="[Transactions].[Risk Level].[All]" allUniqueName="[Transactions].[Risk Level].[All]" dimensionUniqueName="[Transactions]" displayFolder="" count="0" memberValueDatatype="130" unbalanced="0"/>
    <cacheHierarchy uniqueName="[Transactions].[Fraud Flag]" caption="Fraud Flag" attribute="1" defaultMemberUniqueName="[Transactions].[Fraud Flag].[All]" allUniqueName="[Transactions].[Fraud Flag].[All]" dimensionUniqueName="[Transactions]" displayFolder="" count="0" memberValueDatatype="20" unbalanced="0"/>
    <cacheHierarchy uniqueName="[Transactions].[Fraud Label]" caption="Fraud Label" attribute="1" defaultMemberUniqueName="[Transactions].[Fraud Label].[All]" allUniqueName="[Transactions].[Fraud Label].[All]" dimensionUniqueName="[Transactions]" displayFolder="" count="0" memberValueDatatype="130" unbalanced="0"/>
    <cacheHierarchy uniqueName="[Measures].[Sum of Transaction Count]" caption="Sum of Transaction Count" measure="1" displayFolder="" measureGroup="Transactions" count="0">
      <extLst>
        <ext xmlns:x15="http://schemas.microsoft.com/office/spreadsheetml/2010/11/main" uri="{B97F6D7D-B522-45F9-BDA1-12C45D357490}">
          <x15:cacheHierarchy aggregatedColumn="6"/>
        </ext>
      </extLst>
    </cacheHierarchy>
    <cacheHierarchy uniqueName="[Measures].[Fraud Txns]" caption="Fraud Txns" measure="1" displayFolder="" measureGroup="Transactions" count="0" oneField="1">
      <fieldsUsage count="1">
        <fieldUsage x="3"/>
      </fieldsUsage>
    </cacheHierarchy>
    <cacheHierarchy uniqueName="[Measures].[Fraud Rate %]" caption="Fraud Rate %" measure="1" displayFolder="" measureGroup="Transactions" count="0" oneField="1">
      <fieldsUsage count="1">
        <fieldUsage x="4"/>
      </fieldsUsage>
    </cacheHierarchy>
    <cacheHierarchy uniqueName="[Measures].[Total Spend]" caption="Total Spend" measure="1" displayFolder="" measureGroup="Transactions" count="0"/>
    <cacheHierarchy uniqueName="[Measures].[Total Txn Count]" caption="Total Txn Count" measure="1" displayFolder="" measureGroup="Transactions" count="0" oneField="1">
      <fieldsUsage count="1">
        <fieldUsage x="2"/>
      </fieldsUsage>
    </cacheHierarchy>
    <cacheHierarchy uniqueName="[Measures].[Avg Transaction Amount (All)]" caption="Avg Transaction Amount (All)" measure="1" displayFolder="" measureGroup="Transactions" count="0"/>
    <cacheHierarchy uniqueName="[Measures].[Avg Transaction Amount (Fraud)]" caption="Avg Transaction Amount (Fraud)" measure="1" displayFolder="" measureGroup="Transactions" count="0"/>
    <cacheHierarchy uniqueName="[Measures].[Avg Transaction Amount (Non-Fraud)]" caption="Avg Transaction Amount (Non-Fraud)" measure="1" displayFolder="" measureGroup="Transactions" count="0"/>
    <cacheHierarchy uniqueName="[Measures].[Avg Transaction Amount Δ]" caption="Avg Transaction Amount Δ" measure="1" displayFolder="" measureGroup="Transactions" count="0"/>
    <cacheHierarchy uniqueName="[Measures].[High-Risk Txns]" caption="High-Risk Txns" measure="1" displayFolder="" measureGroup="Transactions" count="0"/>
    <cacheHierarchy uniqueName="[Measures].[High-Risk %]" caption="High-Risk %" measure="1" displayFolder="" measureGroup="Transactions" count="0"/>
    <cacheHierarchy uniqueName="[Measures].[Portfolio Rate]" caption="Portfolio Rate" measure="1" displayFolder="" measureGroup="Transactions" count="0"/>
    <cacheHierarchy uniqueName="[Measures].[Fraud Lift]" caption="Fraud Lift" measure="1" displayFolder="" measureGroup="Transactions" count="0"/>
    <cacheHierarchy uniqueName="[Measures].[Fraud Rank (Merchant)]" caption="Fraud Rank (Merchant)" measure="1" displayFolder="" measureGroup="Transactions" count="0"/>
    <cacheHierarchy uniqueName="[Measures].[Cum Fraud (Merchant)]" caption="Cum Fraud (Merchant)" measure="1" displayFolder="" measureGroup="Transactions" count="0"/>
    <cacheHierarchy uniqueName="[Measures].[Cum % Fraud (Merchant)]" caption="Cum % Fraud (Merchant)" measure="1" displayFolder="" measureGroup="Transactions" count="0"/>
    <cacheHierarchy uniqueName="[Measures].[Top 80% Flag (Merchant)]" caption="Top 80% Flag (Merchant)" measure="1" displayFolder="" measureGroup="Transactions" count="0"/>
    <cacheHierarchy uniqueName="[Measures].[Fraud Txns (Top 80)]" caption="Fraud Txns (Top 80)" measure="1" displayFolder="" measureGroup="Transactions" count="0"/>
    <cacheHierarchy uniqueName="[Measures].[Fraud Txns (Tail)]" caption="Fraud Txns (Tail)" measure="1" displayFolder="" measureGroup="Transactions" count="0"/>
    <cacheHierarchy uniqueName="[Measures].[Pareto Target 80%]" caption="Pareto Target 80%" measure="1" displayFolder="" measureGroup="Transactions" count="0"/>
    <cacheHierarchy uniqueName="[Measures].[Country N]" caption="Country N" measure="1" displayFolder="" measureGroup="Transactions" count="0"/>
    <cacheHierarchy uniqueName="[Measures].[Relative Risk %]" caption="Relative Risk %" measure="1" displayFolder="" measureGroup="Transactions" count="0"/>
    <cacheHierarchy uniqueName="[Measures].[__XL_Count Transactions]" caption="__XL_Count Transactions" measure="1" displayFolder="" measureGroup="Transactions" count="0" hidden="1"/>
    <cacheHierarchy uniqueName="[Measures].[__XL_Count RiskDim]" caption="__XL_Count RiskDim" measure="1" displayFolder="" measureGroup="RiskDim" count="0" hidden="1"/>
    <cacheHierarchy uniqueName="[Measures].[__No measures defined]" caption="__No measures defined" measure="1" displayFolder="" count="0" hidden="1"/>
  </cacheHierarchies>
  <kpis count="0"/>
  <dimensions count="3">
    <dimension measure="1" name="Measures" uniqueName="[Measures]" caption="Measures"/>
    <dimension name="RiskDim" uniqueName="[RiskDim]" caption="RiskDim"/>
    <dimension name="Transactions" uniqueName="[Transactions]" caption="Transactions"/>
  </dimensions>
  <measureGroups count="2">
    <measureGroup name="RiskDim" caption="RiskDim"/>
    <measureGroup name="Transactions" caption="Transaction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2.653274421296" backgroundQuery="1" createdVersion="8" refreshedVersion="8" minRefreshableVersion="3" recordCount="0" supportSubquery="1" supportAdvancedDrill="1" xr:uid="{B97CA128-41C0-48F5-BACE-FF171764CA35}">
  <cacheSource type="external" connectionId="4"/>
  <cacheFields count="3">
    <cacheField name="[Transactions].[Card Type].[Card Type]" caption="Card Type" numFmtId="0" hierarchy="4" level="1">
      <sharedItems count="4">
        <s v="Charge"/>
        <s v="Credit"/>
        <s v="Debit"/>
        <s v="Prepaid"/>
      </sharedItems>
    </cacheField>
    <cacheField name="[RiskDim].[Risk Level].[Risk Level]" caption="Risk Level" numFmtId="0" level="1">
      <sharedItems count="3">
        <s v="High"/>
        <s v="Medium"/>
        <s v="Low"/>
      </sharedItems>
    </cacheField>
    <cacheField name="[Measures].[Fraud Rate %]" caption="Fraud Rate %" numFmtId="0" hierarchy="14" level="32767"/>
  </cacheFields>
  <cacheHierarchies count="37">
    <cacheHierarchy uniqueName="[RiskDim].[Risk Level]" caption="Risk Level" attribute="1" defaultMemberUniqueName="[RiskDim].[Risk Level].[All]" allUniqueName="[RiskDim].[Risk Level].[All]" dimensionUniqueName="[RiskDim]" displayFolder="" count="2" memberValueDatatype="130" unbalanced="0">
      <fieldsUsage count="2">
        <fieldUsage x="-1"/>
        <fieldUsage x="1"/>
      </fieldsUsage>
    </cacheHierarchy>
    <cacheHierarchy uniqueName="[RiskDim].[Risk Sort]" caption="Risk Sort" attribute="1" defaultMemberUniqueName="[RiskDim].[Risk Sort].[All]" allUniqueName="[RiskDim].[Risk Sort].[All]" dimensionUniqueName="[RiskDim]" displayFolder="" count="0" memberValueDatatype="2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ard ID]" caption="Card ID" attribute="1" defaultMemberUniqueName="[Transactions].[Card ID].[All]" allUniqueName="[Transactions].[Card ID].[All]" dimensionUniqueName="[Transactions]" displayFolder="" count="0" memberValueDatatype="130" unbalanced="0"/>
    <cacheHierarchy uniqueName="[Transactions].[Card Type]" caption="Card Type" attribute="1" defaultMemberUniqueName="[Transactions].[Card Type].[All]" allUniqueName="[Transactions].[Card Type].[All]" dimensionUniqueName="[Transactions]" displayFolder="" count="2" memberValueDatatype="130" unbalanced="0">
      <fieldsUsage count="2">
        <fieldUsage x="-1"/>
        <fieldUsage x="0"/>
      </fieldsUsage>
    </cacheHierarchy>
    <cacheHierarchy uniqueName="[Transactions].[Amount Spent (USD)]" caption="Amount Spent (USD)" attribute="1" defaultMemberUniqueName="[Transactions].[Amount Spent (USD)].[All]" allUniqueName="[Transactions].[Amount Spent (USD)].[All]" dimensionUniqueName="[Transactions]" displayFolder="" count="0" memberValueDatatype="5" unbalanced="0"/>
    <cacheHierarchy uniqueName="[Transactions].[Transaction Count]" caption="Transaction Count" attribute="1" defaultMemberUniqueName="[Transactions].[Transaction Count].[All]" allUniqueName="[Transactions].[Transaction Count].[All]" dimensionUniqueName="[Transactions]" displayFolder="" count="0" memberValueDatatype="2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Merchant Type]" caption="Merchant Type" attribute="1" defaultMemberUniqueName="[Transactions].[Merchant Type].[All]" allUniqueName="[Transactions].[Merchant Type].[All]" dimensionUniqueName="[Transactions]" displayFolder="" count="0" memberValueDatatype="130" unbalanced="0"/>
    <cacheHierarchy uniqueName="[Transactions].[Risk Level]" caption="Risk Level" attribute="1" defaultMemberUniqueName="[Transactions].[Risk Level].[All]" allUniqueName="[Transactions].[Risk Level].[All]" dimensionUniqueName="[Transactions]" displayFolder="" count="0" memberValueDatatype="130" unbalanced="0"/>
    <cacheHierarchy uniqueName="[Transactions].[Fraud Flag]" caption="Fraud Flag" attribute="1" defaultMemberUniqueName="[Transactions].[Fraud Flag].[All]" allUniqueName="[Transactions].[Fraud Flag].[All]" dimensionUniqueName="[Transactions]" displayFolder="" count="0" memberValueDatatype="20" unbalanced="0"/>
    <cacheHierarchy uniqueName="[Transactions].[Fraud Label]" caption="Fraud Label" attribute="1" defaultMemberUniqueName="[Transactions].[Fraud Label].[All]" allUniqueName="[Transactions].[Fraud Label].[All]" dimensionUniqueName="[Transactions]" displayFolder="" count="0" memberValueDatatype="130" unbalanced="0"/>
    <cacheHierarchy uniqueName="[Measures].[Sum of Transaction Count]" caption="Sum of Transaction Count" measure="1" displayFolder="" measureGroup="Transactions" count="0">
      <extLst>
        <ext xmlns:x15="http://schemas.microsoft.com/office/spreadsheetml/2010/11/main" uri="{B97F6D7D-B522-45F9-BDA1-12C45D357490}">
          <x15:cacheHierarchy aggregatedColumn="6"/>
        </ext>
      </extLst>
    </cacheHierarchy>
    <cacheHierarchy uniqueName="[Measures].[Fraud Txns]" caption="Fraud Txns" measure="1" displayFolder="" measureGroup="Transactions" count="0"/>
    <cacheHierarchy uniqueName="[Measures].[Fraud Rate %]" caption="Fraud Rate %" measure="1" displayFolder="" measureGroup="Transactions" count="0" oneField="1">
      <fieldsUsage count="1">
        <fieldUsage x="2"/>
      </fieldsUsage>
    </cacheHierarchy>
    <cacheHierarchy uniqueName="[Measures].[Total Spend]" caption="Total Spend" measure="1" displayFolder="" measureGroup="Transactions" count="0"/>
    <cacheHierarchy uniqueName="[Measures].[Total Txn Count]" caption="Total Txn Count" measure="1" displayFolder="" measureGroup="Transactions" count="0"/>
    <cacheHierarchy uniqueName="[Measures].[Avg Transaction Amount (All)]" caption="Avg Transaction Amount (All)" measure="1" displayFolder="" measureGroup="Transactions" count="0"/>
    <cacheHierarchy uniqueName="[Measures].[Avg Transaction Amount (Fraud)]" caption="Avg Transaction Amount (Fraud)" measure="1" displayFolder="" measureGroup="Transactions" count="0"/>
    <cacheHierarchy uniqueName="[Measures].[Avg Transaction Amount (Non-Fraud)]" caption="Avg Transaction Amount (Non-Fraud)" measure="1" displayFolder="" measureGroup="Transactions" count="0"/>
    <cacheHierarchy uniqueName="[Measures].[Avg Transaction Amount Δ]" caption="Avg Transaction Amount Δ" measure="1" displayFolder="" measureGroup="Transactions" count="0"/>
    <cacheHierarchy uniqueName="[Measures].[High-Risk Txns]" caption="High-Risk Txns" measure="1" displayFolder="" measureGroup="Transactions" count="0"/>
    <cacheHierarchy uniqueName="[Measures].[High-Risk %]" caption="High-Risk %" measure="1" displayFolder="" measureGroup="Transactions" count="0"/>
    <cacheHierarchy uniqueName="[Measures].[Portfolio Rate]" caption="Portfolio Rate" measure="1" displayFolder="" measureGroup="Transactions" count="0"/>
    <cacheHierarchy uniqueName="[Measures].[Fraud Lift]" caption="Fraud Lift" measure="1" displayFolder="" measureGroup="Transactions" count="0"/>
    <cacheHierarchy uniqueName="[Measures].[Fraud Rank (Merchant)]" caption="Fraud Rank (Merchant)" measure="1" displayFolder="" measureGroup="Transactions" count="0"/>
    <cacheHierarchy uniqueName="[Measures].[Cum Fraud (Merchant)]" caption="Cum Fraud (Merchant)" measure="1" displayFolder="" measureGroup="Transactions" count="0"/>
    <cacheHierarchy uniqueName="[Measures].[Cum % Fraud (Merchant)]" caption="Cum % Fraud (Merchant)" measure="1" displayFolder="" measureGroup="Transactions" count="0"/>
    <cacheHierarchy uniqueName="[Measures].[Top 80% Flag (Merchant)]" caption="Top 80% Flag (Merchant)" measure="1" displayFolder="" measureGroup="Transactions" count="0"/>
    <cacheHierarchy uniqueName="[Measures].[Fraud Txns (Top 80)]" caption="Fraud Txns (Top 80)" measure="1" displayFolder="" measureGroup="Transactions" count="0"/>
    <cacheHierarchy uniqueName="[Measures].[Fraud Txns (Tail)]" caption="Fraud Txns (Tail)" measure="1" displayFolder="" measureGroup="Transactions" count="0"/>
    <cacheHierarchy uniqueName="[Measures].[Pareto Target 80%]" caption="Pareto Target 80%" measure="1" displayFolder="" measureGroup="Transactions" count="0"/>
    <cacheHierarchy uniqueName="[Measures].[Country N]" caption="Country N" measure="1" displayFolder="" measureGroup="Transactions" count="0"/>
    <cacheHierarchy uniqueName="[Measures].[Relative Risk %]" caption="Relative Risk %" measure="1" displayFolder="" measureGroup="Transactions" count="0"/>
    <cacheHierarchy uniqueName="[Measures].[__XL_Count Transactions]" caption="__XL_Count Transactions" measure="1" displayFolder="" measureGroup="Transactions" count="0" hidden="1"/>
    <cacheHierarchy uniqueName="[Measures].[__XL_Count RiskDim]" caption="__XL_Count RiskDim" measure="1" displayFolder="" measureGroup="RiskDim" count="0" hidden="1"/>
    <cacheHierarchy uniqueName="[Measures].[__No measures defined]" caption="__No measures defined" measure="1" displayFolder="" count="0" hidden="1"/>
  </cacheHierarchies>
  <kpis count="0"/>
  <dimensions count="3">
    <dimension measure="1" name="Measures" uniqueName="[Measures]" caption="Measures"/>
    <dimension name="RiskDim" uniqueName="[RiskDim]" caption="RiskDim"/>
    <dimension name="Transactions" uniqueName="[Transactions]" caption="Transactions"/>
  </dimensions>
  <measureGroups count="2">
    <measureGroup name="RiskDim" caption="RiskDim"/>
    <measureGroup name="Transactions" caption="Transaction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2.657465509263" backgroundQuery="1" createdVersion="8" refreshedVersion="8" minRefreshableVersion="3" recordCount="0" supportSubquery="1" supportAdvancedDrill="1" xr:uid="{934CA152-F8C4-4754-BBA6-3442CC8F2E00}">
  <cacheSource type="external" connectionId="4"/>
  <cacheFields count="4">
    <cacheField name="[Transactions].[Card Type].[Card Type]" caption="Card Type" numFmtId="0" hierarchy="4" level="1">
      <sharedItems count="4">
        <s v="Charge"/>
        <s v="Credit"/>
        <s v="Debit"/>
        <s v="Prepaid"/>
      </sharedItems>
    </cacheField>
    <cacheField name="[Measures].[Fraud Rate %]" caption="Fraud Rate %" numFmtId="0" hierarchy="14" level="32767"/>
    <cacheField name="[Measures].[Portfolio Rate]" caption="Portfolio Rate" numFmtId="0" hierarchy="23" level="32767"/>
    <cacheField name="[Transactions].[Country].[Country]" caption="Country" numFmtId="0" hierarchy="7" level="1">
      <sharedItems containsSemiMixedTypes="0" containsNonDate="0" containsString="0"/>
    </cacheField>
  </cacheFields>
  <cacheHierarchies count="37">
    <cacheHierarchy uniqueName="[RiskDim].[Risk Level]" caption="Risk Level" attribute="1" defaultMemberUniqueName="[RiskDim].[Risk Level].[All]" allUniqueName="[RiskDim].[Risk Level].[All]" dimensionUniqueName="[RiskDim]" displayFolder="" count="2" memberValueDatatype="130" unbalanced="0"/>
    <cacheHierarchy uniqueName="[RiskDim].[Risk Sort]" caption="Risk Sort" attribute="1" defaultMemberUniqueName="[RiskDim].[Risk Sort].[All]" allUniqueName="[RiskDim].[Risk Sort].[All]" dimensionUniqueName="[RiskDim]" displayFolder="" count="0" memberValueDatatype="2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ard ID]" caption="Card ID" attribute="1" defaultMemberUniqueName="[Transactions].[Card ID].[All]" allUniqueName="[Transactions].[Card ID].[All]" dimensionUniqueName="[Transactions]" displayFolder="" count="0" memberValueDatatype="130" unbalanced="0"/>
    <cacheHierarchy uniqueName="[Transactions].[Card Type]" caption="Card Type" attribute="1" defaultMemberUniqueName="[Transactions].[Card Type].[All]" allUniqueName="[Transactions].[Card Type].[All]" dimensionUniqueName="[Transactions]" displayFolder="" count="2" memberValueDatatype="130" unbalanced="0">
      <fieldsUsage count="2">
        <fieldUsage x="-1"/>
        <fieldUsage x="0"/>
      </fieldsUsage>
    </cacheHierarchy>
    <cacheHierarchy uniqueName="[Transactions].[Amount Spent (USD)]" caption="Amount Spent (USD)" attribute="1" defaultMemberUniqueName="[Transactions].[Amount Spent (USD)].[All]" allUniqueName="[Transactions].[Amount Spent (USD)].[All]" dimensionUniqueName="[Transactions]" displayFolder="" count="0" memberValueDatatype="5" unbalanced="0"/>
    <cacheHierarchy uniqueName="[Transactions].[Transaction Count]" caption="Transaction Count" attribute="1" defaultMemberUniqueName="[Transactions].[Transaction Count].[All]" allUniqueName="[Transactions].[Transaction Count].[All]" dimensionUniqueName="[Transactions]" displayFolder="" count="0" memberValueDatatype="20" unbalanced="0"/>
    <cacheHierarchy uniqueName="[Transactions].[Country]" caption="Country" attribute="1" defaultMemberUniqueName="[Transactions].[Country].[All]" allUniqueName="[Transactions].[Country].[All]" dimensionUniqueName="[Transactions]" displayFolder="" count="2" memberValueDatatype="130" unbalanced="0">
      <fieldsUsage count="2">
        <fieldUsage x="-1"/>
        <fieldUsage x="3"/>
      </fieldsUsage>
    </cacheHierarchy>
    <cacheHierarchy uniqueName="[Transactions].[Merchant Type]" caption="Merchant Type" attribute="1" defaultMemberUniqueName="[Transactions].[Merchant Type].[All]" allUniqueName="[Transactions].[Merchant Type].[All]" dimensionUniqueName="[Transactions]" displayFolder="" count="2" memberValueDatatype="130" unbalanced="0"/>
    <cacheHierarchy uniqueName="[Transactions].[Risk Level]" caption="Risk Level" attribute="1" defaultMemberUniqueName="[Transactions].[Risk Level].[All]" allUniqueName="[Transactions].[Risk Level].[All]" dimensionUniqueName="[Transactions]" displayFolder="" count="0" memberValueDatatype="130" unbalanced="0"/>
    <cacheHierarchy uniqueName="[Transactions].[Fraud Flag]" caption="Fraud Flag" attribute="1" defaultMemberUniqueName="[Transactions].[Fraud Flag].[All]" allUniqueName="[Transactions].[Fraud Flag].[All]" dimensionUniqueName="[Transactions]" displayFolder="" count="0" memberValueDatatype="20" unbalanced="0"/>
    <cacheHierarchy uniqueName="[Transactions].[Fraud Label]" caption="Fraud Label" attribute="1" defaultMemberUniqueName="[Transactions].[Fraud Label].[All]" allUniqueName="[Transactions].[Fraud Label].[All]" dimensionUniqueName="[Transactions]" displayFolder="" count="0" memberValueDatatype="130" unbalanced="0"/>
    <cacheHierarchy uniqueName="[Measures].[Sum of Transaction Count]" caption="Sum of Transaction Count" measure="1" displayFolder="" measureGroup="Transactions" count="0">
      <extLst>
        <ext xmlns:x15="http://schemas.microsoft.com/office/spreadsheetml/2010/11/main" uri="{B97F6D7D-B522-45F9-BDA1-12C45D357490}">
          <x15:cacheHierarchy aggregatedColumn="6"/>
        </ext>
      </extLst>
    </cacheHierarchy>
    <cacheHierarchy uniqueName="[Measures].[Fraud Txns]" caption="Fraud Txns" measure="1" displayFolder="" measureGroup="Transactions" count="0"/>
    <cacheHierarchy uniqueName="[Measures].[Fraud Rate %]" caption="Fraud Rate %" measure="1" displayFolder="" measureGroup="Transactions" count="0" oneField="1">
      <fieldsUsage count="1">
        <fieldUsage x="1"/>
      </fieldsUsage>
    </cacheHierarchy>
    <cacheHierarchy uniqueName="[Measures].[Total Spend]" caption="Total Spend" measure="1" displayFolder="" measureGroup="Transactions" count="0"/>
    <cacheHierarchy uniqueName="[Measures].[Total Txn Count]" caption="Total Txn Count" measure="1" displayFolder="" measureGroup="Transactions" count="0"/>
    <cacheHierarchy uniqueName="[Measures].[Avg Transaction Amount (All)]" caption="Avg Transaction Amount (All)" measure="1" displayFolder="" measureGroup="Transactions" count="0"/>
    <cacheHierarchy uniqueName="[Measures].[Avg Transaction Amount (Fraud)]" caption="Avg Transaction Amount (Fraud)" measure="1" displayFolder="" measureGroup="Transactions" count="0"/>
    <cacheHierarchy uniqueName="[Measures].[Avg Transaction Amount (Non-Fraud)]" caption="Avg Transaction Amount (Non-Fraud)" measure="1" displayFolder="" measureGroup="Transactions" count="0"/>
    <cacheHierarchy uniqueName="[Measures].[Avg Transaction Amount Δ]" caption="Avg Transaction Amount Δ" measure="1" displayFolder="" measureGroup="Transactions" count="0"/>
    <cacheHierarchy uniqueName="[Measures].[High-Risk Txns]" caption="High-Risk Txns" measure="1" displayFolder="" measureGroup="Transactions" count="0"/>
    <cacheHierarchy uniqueName="[Measures].[High-Risk %]" caption="High-Risk %" measure="1" displayFolder="" measureGroup="Transactions" count="0"/>
    <cacheHierarchy uniqueName="[Measures].[Portfolio Rate]" caption="Portfolio Rate" measure="1" displayFolder="" measureGroup="Transactions" count="0" oneField="1">
      <fieldsUsage count="1">
        <fieldUsage x="2"/>
      </fieldsUsage>
    </cacheHierarchy>
    <cacheHierarchy uniqueName="[Measures].[Fraud Lift]" caption="Fraud Lift" measure="1" displayFolder="" measureGroup="Transactions" count="0"/>
    <cacheHierarchy uniqueName="[Measures].[Fraud Rank (Merchant)]" caption="Fraud Rank (Merchant)" measure="1" displayFolder="" measureGroup="Transactions" count="0"/>
    <cacheHierarchy uniqueName="[Measures].[Cum Fraud (Merchant)]" caption="Cum Fraud (Merchant)" measure="1" displayFolder="" measureGroup="Transactions" count="0"/>
    <cacheHierarchy uniqueName="[Measures].[Cum % Fraud (Merchant)]" caption="Cum % Fraud (Merchant)" measure="1" displayFolder="" measureGroup="Transactions" count="0"/>
    <cacheHierarchy uniqueName="[Measures].[Top 80% Flag (Merchant)]" caption="Top 80% Flag (Merchant)" measure="1" displayFolder="" measureGroup="Transactions" count="0"/>
    <cacheHierarchy uniqueName="[Measures].[Fraud Txns (Top 80)]" caption="Fraud Txns (Top 80)" measure="1" displayFolder="" measureGroup="Transactions" count="0"/>
    <cacheHierarchy uniqueName="[Measures].[Fraud Txns (Tail)]" caption="Fraud Txns (Tail)" measure="1" displayFolder="" measureGroup="Transactions" count="0"/>
    <cacheHierarchy uniqueName="[Measures].[Pareto Target 80%]" caption="Pareto Target 80%" measure="1" displayFolder="" measureGroup="Transactions" count="0"/>
    <cacheHierarchy uniqueName="[Measures].[Country N]" caption="Country N" measure="1" displayFolder="" measureGroup="Transactions" count="0"/>
    <cacheHierarchy uniqueName="[Measures].[Relative Risk %]" caption="Relative Risk %" measure="1" displayFolder="" measureGroup="Transactions" count="0"/>
    <cacheHierarchy uniqueName="[Measures].[__XL_Count Transactions]" caption="__XL_Count Transactions" measure="1" displayFolder="" measureGroup="Transactions" count="0" hidden="1"/>
    <cacheHierarchy uniqueName="[Measures].[__XL_Count RiskDim]" caption="__XL_Count RiskDim" measure="1" displayFolder="" measureGroup="RiskDim" count="0" hidden="1"/>
    <cacheHierarchy uniqueName="[Measures].[__No measures defined]" caption="__No measures defined" measure="1" displayFolder="" count="0" hidden="1"/>
  </cacheHierarchies>
  <kpis count="0"/>
  <dimensions count="3">
    <dimension measure="1" name="Measures" uniqueName="[Measures]" caption="Measures"/>
    <dimension name="RiskDim" uniqueName="[RiskDim]" caption="RiskDim"/>
    <dimension name="Transactions" uniqueName="[Transactions]" caption="Transactions"/>
  </dimensions>
  <measureGroups count="2">
    <measureGroup name="RiskDim" caption="RiskDim"/>
    <measureGroup name="Transactions" caption="Transaction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2.657466087963" backgroundQuery="1" createdVersion="8" refreshedVersion="8" minRefreshableVersion="3" recordCount="0" supportSubquery="1" supportAdvancedDrill="1" xr:uid="{F66F05C3-D43A-40C3-B770-D4AE12926D58}">
  <cacheSource type="external" connectionId="4"/>
  <cacheFields count="5">
    <cacheField name="[Transactions].[Merchant Type].[Merchant Type]" caption="Merchant Type" numFmtId="0" hierarchy="8" level="1">
      <sharedItems count="6">
        <s v="Dining"/>
        <s v="Electronics"/>
        <s v="Grocery"/>
        <s v="Online"/>
        <s v="Retail"/>
        <s v="Travel"/>
      </sharedItems>
    </cacheField>
    <cacheField name="[Measures].[Fraud Txns]" caption="Fraud Txns" numFmtId="0" hierarchy="13" level="32767"/>
    <cacheField name="[Measures].[Cum % Fraud (Merchant)]" caption="Cum % Fraud (Merchant)" numFmtId="0" hierarchy="27" level="32767"/>
    <cacheField name="[Measures].[Pareto Target 80%]" caption="Pareto Target 80%" numFmtId="0" hierarchy="31" level="32767"/>
    <cacheField name="[Transactions].[Country].[Country]" caption="Country" numFmtId="0" hierarchy="7" level="1">
      <sharedItems containsSemiMixedTypes="0" containsNonDate="0" containsString="0"/>
    </cacheField>
  </cacheFields>
  <cacheHierarchies count="37">
    <cacheHierarchy uniqueName="[RiskDim].[Risk Level]" caption="Risk Level" attribute="1" defaultMemberUniqueName="[RiskDim].[Risk Level].[All]" allUniqueName="[RiskDim].[Risk Level].[All]" dimensionUniqueName="[RiskDim]" displayFolder="" count="2" memberValueDatatype="130" unbalanced="0"/>
    <cacheHierarchy uniqueName="[RiskDim].[Risk Sort]" caption="Risk Sort" attribute="1" defaultMemberUniqueName="[RiskDim].[Risk Sort].[All]" allUniqueName="[RiskDim].[Risk Sort].[All]" dimensionUniqueName="[RiskDim]" displayFolder="" count="0" memberValueDatatype="2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ard ID]" caption="Card ID" attribute="1" defaultMemberUniqueName="[Transactions].[Card ID].[All]" allUniqueName="[Transactions].[Card ID].[All]" dimensionUniqueName="[Transactions]" displayFolder="" count="0" memberValueDatatype="130" unbalanced="0"/>
    <cacheHierarchy uniqueName="[Transactions].[Card Type]" caption="Card Type" attribute="1" defaultMemberUniqueName="[Transactions].[Card Type].[All]" allUniqueName="[Transactions].[Card Type].[All]" dimensionUniqueName="[Transactions]" displayFolder="" count="2" memberValueDatatype="130" unbalanced="0"/>
    <cacheHierarchy uniqueName="[Transactions].[Amount Spent (USD)]" caption="Amount Spent (USD)" attribute="1" defaultMemberUniqueName="[Transactions].[Amount Spent (USD)].[All]" allUniqueName="[Transactions].[Amount Spent (USD)].[All]" dimensionUniqueName="[Transactions]" displayFolder="" count="0" memberValueDatatype="5" unbalanced="0"/>
    <cacheHierarchy uniqueName="[Transactions].[Transaction Count]" caption="Transaction Count" attribute="1" defaultMemberUniqueName="[Transactions].[Transaction Count].[All]" allUniqueName="[Transactions].[Transaction Count].[All]" dimensionUniqueName="[Transactions]" displayFolder="" count="0" memberValueDatatype="20" unbalanced="0"/>
    <cacheHierarchy uniqueName="[Transactions].[Country]" caption="Country" attribute="1" defaultMemberUniqueName="[Transactions].[Country].[All]" allUniqueName="[Transactions].[Country].[All]" dimensionUniqueName="[Transactions]" displayFolder="" count="2" memberValueDatatype="130" unbalanced="0">
      <fieldsUsage count="2">
        <fieldUsage x="-1"/>
        <fieldUsage x="4"/>
      </fieldsUsage>
    </cacheHierarchy>
    <cacheHierarchy uniqueName="[Transactions].[Merchant Type]" caption="Merchant Type" attribute="1" defaultMemberUniqueName="[Transactions].[Merchant Type].[All]" allUniqueName="[Transactions].[Merchant Type].[All]" dimensionUniqueName="[Transactions]" displayFolder="" count="2" memberValueDatatype="130" unbalanced="0">
      <fieldsUsage count="2">
        <fieldUsage x="-1"/>
        <fieldUsage x="0"/>
      </fieldsUsage>
    </cacheHierarchy>
    <cacheHierarchy uniqueName="[Transactions].[Risk Level]" caption="Risk Level" attribute="1" defaultMemberUniqueName="[Transactions].[Risk Level].[All]" allUniqueName="[Transactions].[Risk Level].[All]" dimensionUniqueName="[Transactions]" displayFolder="" count="0" memberValueDatatype="130" unbalanced="0"/>
    <cacheHierarchy uniqueName="[Transactions].[Fraud Flag]" caption="Fraud Flag" attribute="1" defaultMemberUniqueName="[Transactions].[Fraud Flag].[All]" allUniqueName="[Transactions].[Fraud Flag].[All]" dimensionUniqueName="[Transactions]" displayFolder="" count="0" memberValueDatatype="20" unbalanced="0"/>
    <cacheHierarchy uniqueName="[Transactions].[Fraud Label]" caption="Fraud Label" attribute="1" defaultMemberUniqueName="[Transactions].[Fraud Label].[All]" allUniqueName="[Transactions].[Fraud Label].[All]" dimensionUniqueName="[Transactions]" displayFolder="" count="0" memberValueDatatype="130" unbalanced="0"/>
    <cacheHierarchy uniqueName="[Measures].[Sum of Transaction Count]" caption="Sum of Transaction Count" measure="1" displayFolder="" measureGroup="Transactions" count="0">
      <extLst>
        <ext xmlns:x15="http://schemas.microsoft.com/office/spreadsheetml/2010/11/main" uri="{B97F6D7D-B522-45F9-BDA1-12C45D357490}">
          <x15:cacheHierarchy aggregatedColumn="6"/>
        </ext>
      </extLst>
    </cacheHierarchy>
    <cacheHierarchy uniqueName="[Measures].[Fraud Txns]" caption="Fraud Txns" measure="1" displayFolder="" measureGroup="Transactions" count="0" oneField="1">
      <fieldsUsage count="1">
        <fieldUsage x="1"/>
      </fieldsUsage>
    </cacheHierarchy>
    <cacheHierarchy uniqueName="[Measures].[Fraud Rate %]" caption="Fraud Rate %" measure="1" displayFolder="" measureGroup="Transactions" count="0"/>
    <cacheHierarchy uniqueName="[Measures].[Total Spend]" caption="Total Spend" measure="1" displayFolder="" measureGroup="Transactions" count="0"/>
    <cacheHierarchy uniqueName="[Measures].[Total Txn Count]" caption="Total Txn Count" measure="1" displayFolder="" measureGroup="Transactions" count="0"/>
    <cacheHierarchy uniqueName="[Measures].[Avg Transaction Amount (All)]" caption="Avg Transaction Amount (All)" measure="1" displayFolder="" measureGroup="Transactions" count="0"/>
    <cacheHierarchy uniqueName="[Measures].[Avg Transaction Amount (Fraud)]" caption="Avg Transaction Amount (Fraud)" measure="1" displayFolder="" measureGroup="Transactions" count="0"/>
    <cacheHierarchy uniqueName="[Measures].[Avg Transaction Amount (Non-Fraud)]" caption="Avg Transaction Amount (Non-Fraud)" measure="1" displayFolder="" measureGroup="Transactions" count="0"/>
    <cacheHierarchy uniqueName="[Measures].[Avg Transaction Amount Δ]" caption="Avg Transaction Amount Δ" measure="1" displayFolder="" measureGroup="Transactions" count="0"/>
    <cacheHierarchy uniqueName="[Measures].[High-Risk Txns]" caption="High-Risk Txns" measure="1" displayFolder="" measureGroup="Transactions" count="0"/>
    <cacheHierarchy uniqueName="[Measures].[High-Risk %]" caption="High-Risk %" measure="1" displayFolder="" measureGroup="Transactions" count="0"/>
    <cacheHierarchy uniqueName="[Measures].[Portfolio Rate]" caption="Portfolio Rate" measure="1" displayFolder="" measureGroup="Transactions" count="0"/>
    <cacheHierarchy uniqueName="[Measures].[Fraud Lift]" caption="Fraud Lift" measure="1" displayFolder="" measureGroup="Transactions" count="0"/>
    <cacheHierarchy uniqueName="[Measures].[Fraud Rank (Merchant)]" caption="Fraud Rank (Merchant)" measure="1" displayFolder="" measureGroup="Transactions" count="0"/>
    <cacheHierarchy uniqueName="[Measures].[Cum Fraud (Merchant)]" caption="Cum Fraud (Merchant)" measure="1" displayFolder="" measureGroup="Transactions" count="0"/>
    <cacheHierarchy uniqueName="[Measures].[Cum % Fraud (Merchant)]" caption="Cum % Fraud (Merchant)" measure="1" displayFolder="" measureGroup="Transactions" count="0" oneField="1">
      <fieldsUsage count="1">
        <fieldUsage x="2"/>
      </fieldsUsage>
    </cacheHierarchy>
    <cacheHierarchy uniqueName="[Measures].[Top 80% Flag (Merchant)]" caption="Top 80% Flag (Merchant)" measure="1" displayFolder="" measureGroup="Transactions" count="0"/>
    <cacheHierarchy uniqueName="[Measures].[Fraud Txns (Top 80)]" caption="Fraud Txns (Top 80)" measure="1" displayFolder="" measureGroup="Transactions" count="0"/>
    <cacheHierarchy uniqueName="[Measures].[Fraud Txns (Tail)]" caption="Fraud Txns (Tail)" measure="1" displayFolder="" measureGroup="Transactions" count="0"/>
    <cacheHierarchy uniqueName="[Measures].[Pareto Target 80%]" caption="Pareto Target 80%" measure="1" displayFolder="" measureGroup="Transactions" count="0" oneField="1">
      <fieldsUsage count="1">
        <fieldUsage x="3"/>
      </fieldsUsage>
    </cacheHierarchy>
    <cacheHierarchy uniqueName="[Measures].[Country N]" caption="Country N" measure="1" displayFolder="" measureGroup="Transactions" count="0"/>
    <cacheHierarchy uniqueName="[Measures].[Relative Risk %]" caption="Relative Risk %" measure="1" displayFolder="" measureGroup="Transactions" count="0"/>
    <cacheHierarchy uniqueName="[Measures].[__XL_Count Transactions]" caption="__XL_Count Transactions" measure="1" displayFolder="" measureGroup="Transactions" count="0" hidden="1"/>
    <cacheHierarchy uniqueName="[Measures].[__XL_Count RiskDim]" caption="__XL_Count RiskDim" measure="1" displayFolder="" measureGroup="RiskDim" count="0" hidden="1"/>
    <cacheHierarchy uniqueName="[Measures].[__No measures defined]" caption="__No measures defined" measure="1" displayFolder="" count="0" hidden="1"/>
  </cacheHierarchies>
  <kpis count="0"/>
  <dimensions count="3">
    <dimension measure="1" name="Measures" uniqueName="[Measures]" caption="Measures"/>
    <dimension name="RiskDim" uniqueName="[RiskDim]" caption="RiskDim"/>
    <dimension name="Transactions" uniqueName="[Transactions]" caption="Transactions"/>
  </dimensions>
  <measureGroups count="2">
    <measureGroup name="RiskDim" caption="RiskDim"/>
    <measureGroup name="Transactions" caption="Transaction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2.657466435187" backgroundQuery="1" createdVersion="8" refreshedVersion="8" minRefreshableVersion="3" recordCount="0" supportSubquery="1" supportAdvancedDrill="1" xr:uid="{6B0C23AC-98C1-401E-882D-6CF338B1E835}">
  <cacheSource type="external" connectionId="4"/>
  <cacheFields count="2">
    <cacheField name="[Transactions].[Country].[Country]" caption="Country" numFmtId="0" hierarchy="7" level="1">
      <sharedItems count="6">
        <s v="Australia"/>
        <s v="Canada"/>
        <s v="Germany"/>
        <s v="India"/>
        <s v="UK"/>
        <s v="USA"/>
      </sharedItems>
    </cacheField>
    <cacheField name="[Measures].[Fraud Rate %]" caption="Fraud Rate %" numFmtId="0" hierarchy="14" level="32767"/>
  </cacheFields>
  <cacheHierarchies count="37">
    <cacheHierarchy uniqueName="[RiskDim].[Risk Level]" caption="Risk Level" attribute="1" defaultMemberUniqueName="[RiskDim].[Risk Level].[All]" allUniqueName="[RiskDim].[Risk Level].[All]" dimensionUniqueName="[RiskDim]" displayFolder="" count="2" memberValueDatatype="130" unbalanced="0"/>
    <cacheHierarchy uniqueName="[RiskDim].[Risk Sort]" caption="Risk Sort" attribute="1" defaultMemberUniqueName="[RiskDim].[Risk Sort].[All]" allUniqueName="[RiskDim].[Risk Sort].[All]" dimensionUniqueName="[RiskDim]" displayFolder="" count="0" memberValueDatatype="2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ard ID]" caption="Card ID" attribute="1" defaultMemberUniqueName="[Transactions].[Card ID].[All]" allUniqueName="[Transactions].[Card ID].[All]" dimensionUniqueName="[Transactions]" displayFolder="" count="0" memberValueDatatype="130" unbalanced="0"/>
    <cacheHierarchy uniqueName="[Transactions].[Card Type]" caption="Card Type" attribute="1" defaultMemberUniqueName="[Transactions].[Card Type].[All]" allUniqueName="[Transactions].[Card Type].[All]" dimensionUniqueName="[Transactions]" displayFolder="" count="2" memberValueDatatype="130" unbalanced="0"/>
    <cacheHierarchy uniqueName="[Transactions].[Amount Spent (USD)]" caption="Amount Spent (USD)" attribute="1" defaultMemberUniqueName="[Transactions].[Amount Spent (USD)].[All]" allUniqueName="[Transactions].[Amount Spent (USD)].[All]" dimensionUniqueName="[Transactions]" displayFolder="" count="0" memberValueDatatype="5" unbalanced="0"/>
    <cacheHierarchy uniqueName="[Transactions].[Transaction Count]" caption="Transaction Count" attribute="1" defaultMemberUniqueName="[Transactions].[Transaction Count].[All]" allUniqueName="[Transactions].[Transaction Count].[All]" dimensionUniqueName="[Transactions]" displayFolder="" count="0" memberValueDatatype="20" unbalanced="0"/>
    <cacheHierarchy uniqueName="[Transactions].[Country]" caption="Country" attribute="1" defaultMemberUniqueName="[Transactions].[Country].[All]" allUniqueName="[Transactions].[Country].[All]" dimensionUniqueName="[Transactions]" displayFolder="" count="2" memberValueDatatype="130" unbalanced="0">
      <fieldsUsage count="2">
        <fieldUsage x="-1"/>
        <fieldUsage x="0"/>
      </fieldsUsage>
    </cacheHierarchy>
    <cacheHierarchy uniqueName="[Transactions].[Merchant Type]" caption="Merchant Type" attribute="1" defaultMemberUniqueName="[Transactions].[Merchant Type].[All]" allUniqueName="[Transactions].[Merchant Type].[All]" dimensionUniqueName="[Transactions]" displayFolder="" count="2" memberValueDatatype="130" unbalanced="0"/>
    <cacheHierarchy uniqueName="[Transactions].[Risk Level]" caption="Risk Level" attribute="1" defaultMemberUniqueName="[Transactions].[Risk Level].[All]" allUniqueName="[Transactions].[Risk Level].[All]" dimensionUniqueName="[Transactions]" displayFolder="" count="0" memberValueDatatype="130" unbalanced="0"/>
    <cacheHierarchy uniqueName="[Transactions].[Fraud Flag]" caption="Fraud Flag" attribute="1" defaultMemberUniqueName="[Transactions].[Fraud Flag].[All]" allUniqueName="[Transactions].[Fraud Flag].[All]" dimensionUniqueName="[Transactions]" displayFolder="" count="0" memberValueDatatype="20" unbalanced="0"/>
    <cacheHierarchy uniqueName="[Transactions].[Fraud Label]" caption="Fraud Label" attribute="1" defaultMemberUniqueName="[Transactions].[Fraud Label].[All]" allUniqueName="[Transactions].[Fraud Label].[All]" dimensionUniqueName="[Transactions]" displayFolder="" count="0" memberValueDatatype="130" unbalanced="0"/>
    <cacheHierarchy uniqueName="[Measures].[Sum of Transaction Count]" caption="Sum of Transaction Count" measure="1" displayFolder="" measureGroup="Transactions" count="0">
      <extLst>
        <ext xmlns:x15="http://schemas.microsoft.com/office/spreadsheetml/2010/11/main" uri="{B97F6D7D-B522-45F9-BDA1-12C45D357490}">
          <x15:cacheHierarchy aggregatedColumn="6"/>
        </ext>
      </extLst>
    </cacheHierarchy>
    <cacheHierarchy uniqueName="[Measures].[Fraud Txns]" caption="Fraud Txns" measure="1" displayFolder="" measureGroup="Transactions" count="0"/>
    <cacheHierarchy uniqueName="[Measures].[Fraud Rate %]" caption="Fraud Rate %" measure="1" displayFolder="" measureGroup="Transactions" count="0" oneField="1">
      <fieldsUsage count="1">
        <fieldUsage x="1"/>
      </fieldsUsage>
    </cacheHierarchy>
    <cacheHierarchy uniqueName="[Measures].[Total Spend]" caption="Total Spend" measure="1" displayFolder="" measureGroup="Transactions" count="0"/>
    <cacheHierarchy uniqueName="[Measures].[Total Txn Count]" caption="Total Txn Count" measure="1" displayFolder="" measureGroup="Transactions" count="0"/>
    <cacheHierarchy uniqueName="[Measures].[Avg Transaction Amount (All)]" caption="Avg Transaction Amount (All)" measure="1" displayFolder="" measureGroup="Transactions" count="0"/>
    <cacheHierarchy uniqueName="[Measures].[Avg Transaction Amount (Fraud)]" caption="Avg Transaction Amount (Fraud)" measure="1" displayFolder="" measureGroup="Transactions" count="0"/>
    <cacheHierarchy uniqueName="[Measures].[Avg Transaction Amount (Non-Fraud)]" caption="Avg Transaction Amount (Non-Fraud)" measure="1" displayFolder="" measureGroup="Transactions" count="0"/>
    <cacheHierarchy uniqueName="[Measures].[Avg Transaction Amount Δ]" caption="Avg Transaction Amount Δ" measure="1" displayFolder="" measureGroup="Transactions" count="0"/>
    <cacheHierarchy uniqueName="[Measures].[High-Risk Txns]" caption="High-Risk Txns" measure="1" displayFolder="" measureGroup="Transactions" count="0"/>
    <cacheHierarchy uniqueName="[Measures].[High-Risk %]" caption="High-Risk %" measure="1" displayFolder="" measureGroup="Transactions" count="0"/>
    <cacheHierarchy uniqueName="[Measures].[Portfolio Rate]" caption="Portfolio Rate" measure="1" displayFolder="" measureGroup="Transactions" count="0"/>
    <cacheHierarchy uniqueName="[Measures].[Fraud Lift]" caption="Fraud Lift" measure="1" displayFolder="" measureGroup="Transactions" count="0"/>
    <cacheHierarchy uniqueName="[Measures].[Fraud Rank (Merchant)]" caption="Fraud Rank (Merchant)" measure="1" displayFolder="" measureGroup="Transactions" count="0"/>
    <cacheHierarchy uniqueName="[Measures].[Cum Fraud (Merchant)]" caption="Cum Fraud (Merchant)" measure="1" displayFolder="" measureGroup="Transactions" count="0"/>
    <cacheHierarchy uniqueName="[Measures].[Cum % Fraud (Merchant)]" caption="Cum % Fraud (Merchant)" measure="1" displayFolder="" measureGroup="Transactions" count="0"/>
    <cacheHierarchy uniqueName="[Measures].[Top 80% Flag (Merchant)]" caption="Top 80% Flag (Merchant)" measure="1" displayFolder="" measureGroup="Transactions" count="0"/>
    <cacheHierarchy uniqueName="[Measures].[Fraud Txns (Top 80)]" caption="Fraud Txns (Top 80)" measure="1" displayFolder="" measureGroup="Transactions" count="0"/>
    <cacheHierarchy uniqueName="[Measures].[Fraud Txns (Tail)]" caption="Fraud Txns (Tail)" measure="1" displayFolder="" measureGroup="Transactions" count="0"/>
    <cacheHierarchy uniqueName="[Measures].[Pareto Target 80%]" caption="Pareto Target 80%" measure="1" displayFolder="" measureGroup="Transactions" count="0"/>
    <cacheHierarchy uniqueName="[Measures].[Country N]" caption="Country N" measure="1" displayFolder="" measureGroup="Transactions" count="0"/>
    <cacheHierarchy uniqueName="[Measures].[Relative Risk %]" caption="Relative Risk %" measure="1" displayFolder="" measureGroup="Transactions" count="0"/>
    <cacheHierarchy uniqueName="[Measures].[__XL_Count Transactions]" caption="__XL_Count Transactions" measure="1" displayFolder="" measureGroup="Transactions" count="0" hidden="1"/>
    <cacheHierarchy uniqueName="[Measures].[__XL_Count RiskDim]" caption="__XL_Count RiskDim" measure="1" displayFolder="" measureGroup="RiskDim" count="0" hidden="1"/>
    <cacheHierarchy uniqueName="[Measures].[__No measures defined]" caption="__No measures defined" measure="1" displayFolder="" count="0" hidden="1"/>
  </cacheHierarchies>
  <kpis count="0"/>
  <dimensions count="3">
    <dimension measure="1" name="Measures" uniqueName="[Measures]" caption="Measures"/>
    <dimension name="RiskDim" uniqueName="[RiskDim]" caption="RiskDim"/>
    <dimension name="Transactions" uniqueName="[Transactions]" caption="Transactions"/>
  </dimensions>
  <measureGroups count="2">
    <measureGroup name="RiskDim" caption="RiskDim"/>
    <measureGroup name="Transactions" caption="Transaction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2.65746678241" backgroundQuery="1" createdVersion="8" refreshedVersion="8" minRefreshableVersion="3" recordCount="0" supportSubquery="1" supportAdvancedDrill="1" xr:uid="{3EA044A7-433A-4404-B240-97EE7F427174}">
  <cacheSource type="external" connectionId="4"/>
  <cacheFields count="4">
    <cacheField name="[Transactions].[Card Type].[Card Type]" caption="Card Type" numFmtId="0" hierarchy="4" level="1">
      <sharedItems count="4">
        <s v="Charge"/>
        <s v="Credit"/>
        <s v="Debit"/>
        <s v="Prepaid"/>
      </sharedItems>
    </cacheField>
    <cacheField name="[RiskDim].[Risk Level].[Risk Level]" caption="Risk Level" numFmtId="0" level="1">
      <sharedItems count="3">
        <s v="High"/>
        <s v="Medium"/>
        <s v="Low"/>
      </sharedItems>
    </cacheField>
    <cacheField name="[Measures].[Fraud Rate %]" caption="Fraud Rate %" numFmtId="0" hierarchy="14" level="32767"/>
    <cacheField name="[Transactions].[Country].[Country]" caption="Country" numFmtId="0" hierarchy="7" level="1">
      <sharedItems containsSemiMixedTypes="0" containsNonDate="0" containsString="0"/>
    </cacheField>
  </cacheFields>
  <cacheHierarchies count="37">
    <cacheHierarchy uniqueName="[RiskDim].[Risk Level]" caption="Risk Level" attribute="1" defaultMemberUniqueName="[RiskDim].[Risk Level].[All]" allUniqueName="[RiskDim].[Risk Level].[All]" dimensionUniqueName="[RiskDim]" displayFolder="" count="2" memberValueDatatype="130" unbalanced="0">
      <fieldsUsage count="2">
        <fieldUsage x="-1"/>
        <fieldUsage x="1"/>
      </fieldsUsage>
    </cacheHierarchy>
    <cacheHierarchy uniqueName="[RiskDim].[Risk Sort]" caption="Risk Sort" attribute="1" defaultMemberUniqueName="[RiskDim].[Risk Sort].[All]" allUniqueName="[RiskDim].[Risk Sort].[All]" dimensionUniqueName="[RiskDim]" displayFolder="" count="0" memberValueDatatype="2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ard ID]" caption="Card ID" attribute="1" defaultMemberUniqueName="[Transactions].[Card ID].[All]" allUniqueName="[Transactions].[Card ID].[All]" dimensionUniqueName="[Transactions]" displayFolder="" count="0" memberValueDatatype="130" unbalanced="0"/>
    <cacheHierarchy uniqueName="[Transactions].[Card Type]" caption="Card Type" attribute="1" defaultMemberUniqueName="[Transactions].[Card Type].[All]" allUniqueName="[Transactions].[Card Type].[All]" dimensionUniqueName="[Transactions]" displayFolder="" count="2" memberValueDatatype="130" unbalanced="0">
      <fieldsUsage count="2">
        <fieldUsage x="-1"/>
        <fieldUsage x="0"/>
      </fieldsUsage>
    </cacheHierarchy>
    <cacheHierarchy uniqueName="[Transactions].[Amount Spent (USD)]" caption="Amount Spent (USD)" attribute="1" defaultMemberUniqueName="[Transactions].[Amount Spent (USD)].[All]" allUniqueName="[Transactions].[Amount Spent (USD)].[All]" dimensionUniqueName="[Transactions]" displayFolder="" count="0" memberValueDatatype="5" unbalanced="0"/>
    <cacheHierarchy uniqueName="[Transactions].[Transaction Count]" caption="Transaction Count" attribute="1" defaultMemberUniqueName="[Transactions].[Transaction Count].[All]" allUniqueName="[Transactions].[Transaction Count].[All]" dimensionUniqueName="[Transactions]" displayFolder="" count="0" memberValueDatatype="20" unbalanced="0"/>
    <cacheHierarchy uniqueName="[Transactions].[Country]" caption="Country" attribute="1" defaultMemberUniqueName="[Transactions].[Country].[All]" allUniqueName="[Transactions].[Country].[All]" dimensionUniqueName="[Transactions]" displayFolder="" count="2" memberValueDatatype="130" unbalanced="0">
      <fieldsUsage count="2">
        <fieldUsage x="-1"/>
        <fieldUsage x="3"/>
      </fieldsUsage>
    </cacheHierarchy>
    <cacheHierarchy uniqueName="[Transactions].[Merchant Type]" caption="Merchant Type" attribute="1" defaultMemberUniqueName="[Transactions].[Merchant Type].[All]" allUniqueName="[Transactions].[Merchant Type].[All]" dimensionUniqueName="[Transactions]" displayFolder="" count="2" memberValueDatatype="130" unbalanced="0"/>
    <cacheHierarchy uniqueName="[Transactions].[Risk Level]" caption="Risk Level" attribute="1" defaultMemberUniqueName="[Transactions].[Risk Level].[All]" allUniqueName="[Transactions].[Risk Level].[All]" dimensionUniqueName="[Transactions]" displayFolder="" count="0" memberValueDatatype="130" unbalanced="0"/>
    <cacheHierarchy uniqueName="[Transactions].[Fraud Flag]" caption="Fraud Flag" attribute="1" defaultMemberUniqueName="[Transactions].[Fraud Flag].[All]" allUniqueName="[Transactions].[Fraud Flag].[All]" dimensionUniqueName="[Transactions]" displayFolder="" count="0" memberValueDatatype="20" unbalanced="0"/>
    <cacheHierarchy uniqueName="[Transactions].[Fraud Label]" caption="Fraud Label" attribute="1" defaultMemberUniqueName="[Transactions].[Fraud Label].[All]" allUniqueName="[Transactions].[Fraud Label].[All]" dimensionUniqueName="[Transactions]" displayFolder="" count="0" memberValueDatatype="130" unbalanced="0"/>
    <cacheHierarchy uniqueName="[Measures].[Sum of Transaction Count]" caption="Sum of Transaction Count" measure="1" displayFolder="" measureGroup="Transactions" count="0">
      <extLst>
        <ext xmlns:x15="http://schemas.microsoft.com/office/spreadsheetml/2010/11/main" uri="{B97F6D7D-B522-45F9-BDA1-12C45D357490}">
          <x15:cacheHierarchy aggregatedColumn="6"/>
        </ext>
      </extLst>
    </cacheHierarchy>
    <cacheHierarchy uniqueName="[Measures].[Fraud Txns]" caption="Fraud Txns" measure="1" displayFolder="" measureGroup="Transactions" count="0"/>
    <cacheHierarchy uniqueName="[Measures].[Fraud Rate %]" caption="Fraud Rate %" measure="1" displayFolder="" measureGroup="Transactions" count="0" oneField="1">
      <fieldsUsage count="1">
        <fieldUsage x="2"/>
      </fieldsUsage>
    </cacheHierarchy>
    <cacheHierarchy uniqueName="[Measures].[Total Spend]" caption="Total Spend" measure="1" displayFolder="" measureGroup="Transactions" count="0"/>
    <cacheHierarchy uniqueName="[Measures].[Total Txn Count]" caption="Total Txn Count" measure="1" displayFolder="" measureGroup="Transactions" count="0"/>
    <cacheHierarchy uniqueName="[Measures].[Avg Transaction Amount (All)]" caption="Avg Transaction Amount (All)" measure="1" displayFolder="" measureGroup="Transactions" count="0"/>
    <cacheHierarchy uniqueName="[Measures].[Avg Transaction Amount (Fraud)]" caption="Avg Transaction Amount (Fraud)" measure="1" displayFolder="" measureGroup="Transactions" count="0"/>
    <cacheHierarchy uniqueName="[Measures].[Avg Transaction Amount (Non-Fraud)]" caption="Avg Transaction Amount (Non-Fraud)" measure="1" displayFolder="" measureGroup="Transactions" count="0"/>
    <cacheHierarchy uniqueName="[Measures].[Avg Transaction Amount Δ]" caption="Avg Transaction Amount Δ" measure="1" displayFolder="" measureGroup="Transactions" count="0"/>
    <cacheHierarchy uniqueName="[Measures].[High-Risk Txns]" caption="High-Risk Txns" measure="1" displayFolder="" measureGroup="Transactions" count="0"/>
    <cacheHierarchy uniqueName="[Measures].[High-Risk %]" caption="High-Risk %" measure="1" displayFolder="" measureGroup="Transactions" count="0"/>
    <cacheHierarchy uniqueName="[Measures].[Portfolio Rate]" caption="Portfolio Rate" measure="1" displayFolder="" measureGroup="Transactions" count="0"/>
    <cacheHierarchy uniqueName="[Measures].[Fraud Lift]" caption="Fraud Lift" measure="1" displayFolder="" measureGroup="Transactions" count="0"/>
    <cacheHierarchy uniqueName="[Measures].[Fraud Rank (Merchant)]" caption="Fraud Rank (Merchant)" measure="1" displayFolder="" measureGroup="Transactions" count="0"/>
    <cacheHierarchy uniqueName="[Measures].[Cum Fraud (Merchant)]" caption="Cum Fraud (Merchant)" measure="1" displayFolder="" measureGroup="Transactions" count="0"/>
    <cacheHierarchy uniqueName="[Measures].[Cum % Fraud (Merchant)]" caption="Cum % Fraud (Merchant)" measure="1" displayFolder="" measureGroup="Transactions" count="0"/>
    <cacheHierarchy uniqueName="[Measures].[Top 80% Flag (Merchant)]" caption="Top 80% Flag (Merchant)" measure="1" displayFolder="" measureGroup="Transactions" count="0"/>
    <cacheHierarchy uniqueName="[Measures].[Fraud Txns (Top 80)]" caption="Fraud Txns (Top 80)" measure="1" displayFolder="" measureGroup="Transactions" count="0"/>
    <cacheHierarchy uniqueName="[Measures].[Fraud Txns (Tail)]" caption="Fraud Txns (Tail)" measure="1" displayFolder="" measureGroup="Transactions" count="0"/>
    <cacheHierarchy uniqueName="[Measures].[Pareto Target 80%]" caption="Pareto Target 80%" measure="1" displayFolder="" measureGroup="Transactions" count="0"/>
    <cacheHierarchy uniqueName="[Measures].[Country N]" caption="Country N" measure="1" displayFolder="" measureGroup="Transactions" count="0"/>
    <cacheHierarchy uniqueName="[Measures].[Relative Risk %]" caption="Relative Risk %" measure="1" displayFolder="" measureGroup="Transactions" count="0"/>
    <cacheHierarchy uniqueName="[Measures].[__XL_Count Transactions]" caption="__XL_Count Transactions" measure="1" displayFolder="" measureGroup="Transactions" count="0" hidden="1"/>
    <cacheHierarchy uniqueName="[Measures].[__XL_Count RiskDim]" caption="__XL_Count RiskDim" measure="1" displayFolder="" measureGroup="RiskDim" count="0" hidden="1"/>
    <cacheHierarchy uniqueName="[Measures].[__No measures defined]" caption="__No measures defined" measure="1" displayFolder="" count="0" hidden="1"/>
  </cacheHierarchies>
  <kpis count="0"/>
  <dimensions count="3">
    <dimension measure="1" name="Measures" uniqueName="[Measures]" caption="Measures"/>
    <dimension name="RiskDim" uniqueName="[RiskDim]" caption="RiskDim"/>
    <dimension name="Transactions" uniqueName="[Transactions]" caption="Transactions"/>
  </dimensions>
  <measureGroups count="2">
    <measureGroup name="RiskDim" caption="RiskDim"/>
    <measureGroup name="Transactions" caption="Transaction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2.657467245372" backgroundQuery="1" createdVersion="8" refreshedVersion="8" minRefreshableVersion="3" recordCount="0" supportSubquery="1" supportAdvancedDrill="1" xr:uid="{EB214E10-22BA-4718-B28C-BC05F9C47E2E}">
  <cacheSource type="external" connectionId="4"/>
  <cacheFields count="6">
    <cacheField name="[Measures].[Total Txn Count]" caption="Total Txn Count" numFmtId="0" hierarchy="16" level="32767"/>
    <cacheField name="[Measures].[Fraud Txns]" caption="Fraud Txns" numFmtId="0" hierarchy="13" level="32767"/>
    <cacheField name="[Measures].[Fraud Rate %]" caption="Fraud Rate %" numFmtId="0" hierarchy="14" level="32767"/>
    <cacheField name="[Measures].[High-Risk %]" caption="High-Risk %" numFmtId="0" hierarchy="22" level="32767"/>
    <cacheField name="[Measures].[Relative Risk %]" caption="Relative Risk %" numFmtId="0" hierarchy="33" level="32767"/>
    <cacheField name="[Transactions].[Country].[Country]" caption="Country" numFmtId="0" hierarchy="7" level="1">
      <sharedItems containsSemiMixedTypes="0" containsNonDate="0" containsString="0"/>
    </cacheField>
  </cacheFields>
  <cacheHierarchies count="37">
    <cacheHierarchy uniqueName="[RiskDim].[Risk Level]" caption="Risk Level" attribute="1" defaultMemberUniqueName="[RiskDim].[Risk Level].[All]" allUniqueName="[RiskDim].[Risk Level].[All]" dimensionUniqueName="[RiskDim]" displayFolder="" count="2" memberValueDatatype="130" unbalanced="0"/>
    <cacheHierarchy uniqueName="[RiskDim].[Risk Sort]" caption="Risk Sort" attribute="1" defaultMemberUniqueName="[RiskDim].[Risk Sort].[All]" allUniqueName="[RiskDim].[Risk Sort].[All]" dimensionUniqueName="[RiskDim]" displayFolder="" count="0" memberValueDatatype="2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ard ID]" caption="Card ID" attribute="1" defaultMemberUniqueName="[Transactions].[Card ID].[All]" allUniqueName="[Transactions].[Card ID].[All]" dimensionUniqueName="[Transactions]" displayFolder="" count="0" memberValueDatatype="130" unbalanced="0"/>
    <cacheHierarchy uniqueName="[Transactions].[Card Type]" caption="Card Type" attribute="1" defaultMemberUniqueName="[Transactions].[Card Type].[All]" allUniqueName="[Transactions].[Card Type].[All]" dimensionUniqueName="[Transactions]" displayFolder="" count="2" memberValueDatatype="130" unbalanced="0"/>
    <cacheHierarchy uniqueName="[Transactions].[Amount Spent (USD)]" caption="Amount Spent (USD)" attribute="1" defaultMemberUniqueName="[Transactions].[Amount Spent (USD)].[All]" allUniqueName="[Transactions].[Amount Spent (USD)].[All]" dimensionUniqueName="[Transactions]" displayFolder="" count="0" memberValueDatatype="5" unbalanced="0"/>
    <cacheHierarchy uniqueName="[Transactions].[Transaction Count]" caption="Transaction Count" attribute="1" defaultMemberUniqueName="[Transactions].[Transaction Count].[All]" allUniqueName="[Transactions].[Transaction Count].[All]" dimensionUniqueName="[Transactions]" displayFolder="" count="0" memberValueDatatype="20" unbalanced="0"/>
    <cacheHierarchy uniqueName="[Transactions].[Country]" caption="Country" attribute="1" defaultMemberUniqueName="[Transactions].[Country].[All]" allUniqueName="[Transactions].[Country].[All]" dimensionUniqueName="[Transactions]" displayFolder="" count="2" memberValueDatatype="130" unbalanced="0">
      <fieldsUsage count="2">
        <fieldUsage x="-1"/>
        <fieldUsage x="5"/>
      </fieldsUsage>
    </cacheHierarchy>
    <cacheHierarchy uniqueName="[Transactions].[Merchant Type]" caption="Merchant Type" attribute="1" defaultMemberUniqueName="[Transactions].[Merchant Type].[All]" allUniqueName="[Transactions].[Merchant Type].[All]" dimensionUniqueName="[Transactions]" displayFolder="" count="2" memberValueDatatype="130" unbalanced="0"/>
    <cacheHierarchy uniqueName="[Transactions].[Risk Level]" caption="Risk Level" attribute="1" defaultMemberUniqueName="[Transactions].[Risk Level].[All]" allUniqueName="[Transactions].[Risk Level].[All]" dimensionUniqueName="[Transactions]" displayFolder="" count="0" memberValueDatatype="130" unbalanced="0"/>
    <cacheHierarchy uniqueName="[Transactions].[Fraud Flag]" caption="Fraud Flag" attribute="1" defaultMemberUniqueName="[Transactions].[Fraud Flag].[All]" allUniqueName="[Transactions].[Fraud Flag].[All]" dimensionUniqueName="[Transactions]" displayFolder="" count="0" memberValueDatatype="20" unbalanced="0"/>
    <cacheHierarchy uniqueName="[Transactions].[Fraud Label]" caption="Fraud Label" attribute="1" defaultMemberUniqueName="[Transactions].[Fraud Label].[All]" allUniqueName="[Transactions].[Fraud Label].[All]" dimensionUniqueName="[Transactions]" displayFolder="" count="0" memberValueDatatype="130" unbalanced="0"/>
    <cacheHierarchy uniqueName="[Measures].[Sum of Transaction Count]" caption="Sum of Transaction Count" measure="1" displayFolder="" measureGroup="Transactions" count="0">
      <extLst>
        <ext xmlns:x15="http://schemas.microsoft.com/office/spreadsheetml/2010/11/main" uri="{B97F6D7D-B522-45F9-BDA1-12C45D357490}">
          <x15:cacheHierarchy aggregatedColumn="6"/>
        </ext>
      </extLst>
    </cacheHierarchy>
    <cacheHierarchy uniqueName="[Measures].[Fraud Txns]" caption="Fraud Txns" measure="1" displayFolder="" measureGroup="Transactions" count="0" oneField="1">
      <fieldsUsage count="1">
        <fieldUsage x="1"/>
      </fieldsUsage>
    </cacheHierarchy>
    <cacheHierarchy uniqueName="[Measures].[Fraud Rate %]" caption="Fraud Rate %" measure="1" displayFolder="" measureGroup="Transactions" count="0" oneField="1">
      <fieldsUsage count="1">
        <fieldUsage x="2"/>
      </fieldsUsage>
    </cacheHierarchy>
    <cacheHierarchy uniqueName="[Measures].[Total Spend]" caption="Total Spend" measure="1" displayFolder="" measureGroup="Transactions" count="0"/>
    <cacheHierarchy uniqueName="[Measures].[Total Txn Count]" caption="Total Txn Count" measure="1" displayFolder="" measureGroup="Transactions" count="0" oneField="1">
      <fieldsUsage count="1">
        <fieldUsage x="0"/>
      </fieldsUsage>
    </cacheHierarchy>
    <cacheHierarchy uniqueName="[Measures].[Avg Transaction Amount (All)]" caption="Avg Transaction Amount (All)" measure="1" displayFolder="" measureGroup="Transactions" count="0"/>
    <cacheHierarchy uniqueName="[Measures].[Avg Transaction Amount (Fraud)]" caption="Avg Transaction Amount (Fraud)" measure="1" displayFolder="" measureGroup="Transactions" count="0"/>
    <cacheHierarchy uniqueName="[Measures].[Avg Transaction Amount (Non-Fraud)]" caption="Avg Transaction Amount (Non-Fraud)" measure="1" displayFolder="" measureGroup="Transactions" count="0"/>
    <cacheHierarchy uniqueName="[Measures].[Avg Transaction Amount Δ]" caption="Avg Transaction Amount Δ" measure="1" displayFolder="" measureGroup="Transactions" count="0"/>
    <cacheHierarchy uniqueName="[Measures].[High-Risk Txns]" caption="High-Risk Txns" measure="1" displayFolder="" measureGroup="Transactions" count="0"/>
    <cacheHierarchy uniqueName="[Measures].[High-Risk %]" caption="High-Risk %" measure="1" displayFolder="" measureGroup="Transactions" count="0" oneField="1">
      <fieldsUsage count="1">
        <fieldUsage x="3"/>
      </fieldsUsage>
    </cacheHierarchy>
    <cacheHierarchy uniqueName="[Measures].[Portfolio Rate]" caption="Portfolio Rate" measure="1" displayFolder="" measureGroup="Transactions" count="0"/>
    <cacheHierarchy uniqueName="[Measures].[Fraud Lift]" caption="Fraud Lift" measure="1" displayFolder="" measureGroup="Transactions" count="0"/>
    <cacheHierarchy uniqueName="[Measures].[Fraud Rank (Merchant)]" caption="Fraud Rank (Merchant)" measure="1" displayFolder="" measureGroup="Transactions" count="0"/>
    <cacheHierarchy uniqueName="[Measures].[Cum Fraud (Merchant)]" caption="Cum Fraud (Merchant)" measure="1" displayFolder="" measureGroup="Transactions" count="0"/>
    <cacheHierarchy uniqueName="[Measures].[Cum % Fraud (Merchant)]" caption="Cum % Fraud (Merchant)" measure="1" displayFolder="" measureGroup="Transactions" count="0"/>
    <cacheHierarchy uniqueName="[Measures].[Top 80% Flag (Merchant)]" caption="Top 80% Flag (Merchant)" measure="1" displayFolder="" measureGroup="Transactions" count="0"/>
    <cacheHierarchy uniqueName="[Measures].[Fraud Txns (Top 80)]" caption="Fraud Txns (Top 80)" measure="1" displayFolder="" measureGroup="Transactions" count="0"/>
    <cacheHierarchy uniqueName="[Measures].[Fraud Txns (Tail)]" caption="Fraud Txns (Tail)" measure="1" displayFolder="" measureGroup="Transactions" count="0"/>
    <cacheHierarchy uniqueName="[Measures].[Pareto Target 80%]" caption="Pareto Target 80%" measure="1" displayFolder="" measureGroup="Transactions" count="0"/>
    <cacheHierarchy uniqueName="[Measures].[Country N]" caption="Country N" measure="1" displayFolder="" measureGroup="Transactions" count="0"/>
    <cacheHierarchy uniqueName="[Measures].[Relative Risk %]" caption="Relative Risk %" measure="1" displayFolder="" measureGroup="Transactions" count="0" oneField="1">
      <fieldsUsage count="1">
        <fieldUsage x="4"/>
      </fieldsUsage>
    </cacheHierarchy>
    <cacheHierarchy uniqueName="[Measures].[__XL_Count Transactions]" caption="__XL_Count Transactions" measure="1" displayFolder="" measureGroup="Transactions" count="0" hidden="1"/>
    <cacheHierarchy uniqueName="[Measures].[__XL_Count RiskDim]" caption="__XL_Count RiskDim" measure="1" displayFolder="" measureGroup="RiskDim" count="0" hidden="1"/>
    <cacheHierarchy uniqueName="[Measures].[__No measures defined]" caption="__No measures defined" measure="1" displayFolder="" count="0" hidden="1"/>
  </cacheHierarchies>
  <kpis count="0"/>
  <dimensions count="3">
    <dimension measure="1" name="Measures" uniqueName="[Measures]" caption="Measures"/>
    <dimension name="RiskDim" uniqueName="[RiskDim]" caption="RiskDim"/>
    <dimension name="Transactions" uniqueName="[Transactions]" caption="Transactions"/>
  </dimensions>
  <measureGroups count="2">
    <measureGroup name="RiskDim" caption="RiskDim"/>
    <measureGroup name="Transactions" caption="Transaction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5.512095486112" backgroundQuery="1" createdVersion="8" refreshedVersion="8" minRefreshableVersion="3" recordCount="0" supportSubquery="1" supportAdvancedDrill="1" xr:uid="{04496359-9249-458A-B34C-43364872B6E7}">
  <cacheSource type="external" connectionId="4"/>
  <cacheFields count="5">
    <cacheField name="[Transactions].[Country].[Country]" caption="Country" numFmtId="0" hierarchy="7" level="1">
      <sharedItems count="6">
        <s v="Australia"/>
        <s v="Canada"/>
        <s v="Germany"/>
        <s v="India"/>
        <s v="UK"/>
        <s v="USA"/>
      </sharedItems>
    </cacheField>
    <cacheField name="[Transactions].[Card Type].[Card Type]" caption="Card Type" numFmtId="0" hierarchy="4" level="1">
      <sharedItems count="4">
        <s v="Charge"/>
        <s v="Credit"/>
        <s v="Debit"/>
        <s v="Prepaid"/>
      </sharedItems>
    </cacheField>
    <cacheField name="[Measures].[Fraud Txns]" caption="Fraud Txns" numFmtId="0" hierarchy="13" level="32767"/>
    <cacheField name="[Measures].[Total Txn Count]" caption="Total Txn Count" numFmtId="0" hierarchy="16" level="32767"/>
    <cacheField name="[Measures].[Fraud Rate %]" caption="Fraud Rate %" numFmtId="0" hierarchy="14" level="32767"/>
  </cacheFields>
  <cacheHierarchies count="37">
    <cacheHierarchy uniqueName="[RiskDim].[Risk Level]" caption="Risk Level" attribute="1" defaultMemberUniqueName="[RiskDim].[Risk Level].[All]" allUniqueName="[RiskDim].[Risk Level].[All]" dimensionUniqueName="[RiskDim]" displayFolder="" count="0" memberValueDatatype="130" unbalanced="0"/>
    <cacheHierarchy uniqueName="[RiskDim].[Risk Sort]" caption="Risk Sort" attribute="1" defaultMemberUniqueName="[RiskDim].[Risk Sort].[All]" allUniqueName="[RiskDim].[Risk Sort].[All]" dimensionUniqueName="[RiskDim]" displayFolder="" count="0" memberValueDatatype="2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ard ID]" caption="Card ID" attribute="1" defaultMemberUniqueName="[Transactions].[Card ID].[All]" allUniqueName="[Transactions].[Card ID].[All]" dimensionUniqueName="[Transactions]" displayFolder="" count="0" memberValueDatatype="130" unbalanced="0"/>
    <cacheHierarchy uniqueName="[Transactions].[Card Type]" caption="Card Type" attribute="1" defaultMemberUniqueName="[Transactions].[Card Type].[All]" allUniqueName="[Transactions].[Card Type].[All]" dimensionUniqueName="[Transactions]" displayFolder="" count="2" memberValueDatatype="130" unbalanced="0">
      <fieldsUsage count="2">
        <fieldUsage x="-1"/>
        <fieldUsage x="1"/>
      </fieldsUsage>
    </cacheHierarchy>
    <cacheHierarchy uniqueName="[Transactions].[Amount Spent (USD)]" caption="Amount Spent (USD)" attribute="1" defaultMemberUniqueName="[Transactions].[Amount Spent (USD)].[All]" allUniqueName="[Transactions].[Amount Spent (USD)].[All]" dimensionUniqueName="[Transactions]" displayFolder="" count="0" memberValueDatatype="5" unbalanced="0"/>
    <cacheHierarchy uniqueName="[Transactions].[Transaction Count]" caption="Transaction Count" attribute="1" defaultMemberUniqueName="[Transactions].[Transaction Count].[All]" allUniqueName="[Transactions].[Transaction Count].[All]" dimensionUniqueName="[Transactions]" displayFolder="" count="0" memberValueDatatype="20" unbalanced="0"/>
    <cacheHierarchy uniqueName="[Transactions].[Country]" caption="Country" attribute="1" defaultMemberUniqueName="[Transactions].[Country].[All]" allUniqueName="[Transactions].[Country].[All]" dimensionUniqueName="[Transactions]" displayFolder="" count="2" memberValueDatatype="130" unbalanced="0">
      <fieldsUsage count="2">
        <fieldUsage x="-1"/>
        <fieldUsage x="0"/>
      </fieldsUsage>
    </cacheHierarchy>
    <cacheHierarchy uniqueName="[Transactions].[Merchant Type]" caption="Merchant Type" attribute="1" defaultMemberUniqueName="[Transactions].[Merchant Type].[All]" allUniqueName="[Transactions].[Merchant Type].[All]" dimensionUniqueName="[Transactions]" displayFolder="" count="0" memberValueDatatype="130" unbalanced="0"/>
    <cacheHierarchy uniqueName="[Transactions].[Risk Level]" caption="Risk Level" attribute="1" defaultMemberUniqueName="[Transactions].[Risk Level].[All]" allUniqueName="[Transactions].[Risk Level].[All]" dimensionUniqueName="[Transactions]" displayFolder="" count="0" memberValueDatatype="130" unbalanced="0"/>
    <cacheHierarchy uniqueName="[Transactions].[Fraud Flag]" caption="Fraud Flag" attribute="1" defaultMemberUniqueName="[Transactions].[Fraud Flag].[All]" allUniqueName="[Transactions].[Fraud Flag].[All]" dimensionUniqueName="[Transactions]" displayFolder="" count="0" memberValueDatatype="20" unbalanced="0"/>
    <cacheHierarchy uniqueName="[Transactions].[Fraud Label]" caption="Fraud Label" attribute="1" defaultMemberUniqueName="[Transactions].[Fraud Label].[All]" allUniqueName="[Transactions].[Fraud Label].[All]" dimensionUniqueName="[Transactions]" displayFolder="" count="0" memberValueDatatype="130" unbalanced="0"/>
    <cacheHierarchy uniqueName="[Measures].[Sum of Transaction Count]" caption="Sum of Transaction Count" measure="1" displayFolder="" measureGroup="Transactions" count="0">
      <extLst>
        <ext xmlns:x15="http://schemas.microsoft.com/office/spreadsheetml/2010/11/main" uri="{B97F6D7D-B522-45F9-BDA1-12C45D357490}">
          <x15:cacheHierarchy aggregatedColumn="6"/>
        </ext>
      </extLst>
    </cacheHierarchy>
    <cacheHierarchy uniqueName="[Measures].[Fraud Txns]" caption="Fraud Txns" measure="1" displayFolder="" measureGroup="Transactions" count="0" oneField="1">
      <fieldsUsage count="1">
        <fieldUsage x="2"/>
      </fieldsUsage>
    </cacheHierarchy>
    <cacheHierarchy uniqueName="[Measures].[Fraud Rate %]" caption="Fraud Rate %" measure="1" displayFolder="" measureGroup="Transactions" count="0" oneField="1">
      <fieldsUsage count="1">
        <fieldUsage x="4"/>
      </fieldsUsage>
    </cacheHierarchy>
    <cacheHierarchy uniqueName="[Measures].[Total Spend]" caption="Total Spend" measure="1" displayFolder="" measureGroup="Transactions" count="0"/>
    <cacheHierarchy uniqueName="[Measures].[Total Txn Count]" caption="Total Txn Count" measure="1" displayFolder="" measureGroup="Transactions" count="0" oneField="1">
      <fieldsUsage count="1">
        <fieldUsage x="3"/>
      </fieldsUsage>
    </cacheHierarchy>
    <cacheHierarchy uniqueName="[Measures].[Avg Transaction Amount (All)]" caption="Avg Transaction Amount (All)" measure="1" displayFolder="" measureGroup="Transactions" count="0"/>
    <cacheHierarchy uniqueName="[Measures].[Avg Transaction Amount (Fraud)]" caption="Avg Transaction Amount (Fraud)" measure="1" displayFolder="" measureGroup="Transactions" count="0"/>
    <cacheHierarchy uniqueName="[Measures].[Avg Transaction Amount (Non-Fraud)]" caption="Avg Transaction Amount (Non-Fraud)" measure="1" displayFolder="" measureGroup="Transactions" count="0"/>
    <cacheHierarchy uniqueName="[Measures].[Avg Transaction Amount Δ]" caption="Avg Transaction Amount Δ" measure="1" displayFolder="" measureGroup="Transactions" count="0"/>
    <cacheHierarchy uniqueName="[Measures].[High-Risk Txns]" caption="High-Risk Txns" measure="1" displayFolder="" measureGroup="Transactions" count="0"/>
    <cacheHierarchy uniqueName="[Measures].[High-Risk %]" caption="High-Risk %" measure="1" displayFolder="" measureGroup="Transactions" count="0"/>
    <cacheHierarchy uniqueName="[Measures].[Portfolio Rate]" caption="Portfolio Rate" measure="1" displayFolder="" measureGroup="Transactions" count="0"/>
    <cacheHierarchy uniqueName="[Measures].[Fraud Lift]" caption="Fraud Lift" measure="1" displayFolder="" measureGroup="Transactions" count="0"/>
    <cacheHierarchy uniqueName="[Measures].[Fraud Rank (Merchant)]" caption="Fraud Rank (Merchant)" measure="1" displayFolder="" measureGroup="Transactions" count="0"/>
    <cacheHierarchy uniqueName="[Measures].[Cum Fraud (Merchant)]" caption="Cum Fraud (Merchant)" measure="1" displayFolder="" measureGroup="Transactions" count="0"/>
    <cacheHierarchy uniqueName="[Measures].[Cum % Fraud (Merchant)]" caption="Cum % Fraud (Merchant)" measure="1" displayFolder="" measureGroup="Transactions" count="0"/>
    <cacheHierarchy uniqueName="[Measures].[Top 80% Flag (Merchant)]" caption="Top 80% Flag (Merchant)" measure="1" displayFolder="" measureGroup="Transactions" count="0"/>
    <cacheHierarchy uniqueName="[Measures].[Fraud Txns (Top 80)]" caption="Fraud Txns (Top 80)" measure="1" displayFolder="" measureGroup="Transactions" count="0"/>
    <cacheHierarchy uniqueName="[Measures].[Fraud Txns (Tail)]" caption="Fraud Txns (Tail)" measure="1" displayFolder="" measureGroup="Transactions" count="0"/>
    <cacheHierarchy uniqueName="[Measures].[Pareto Target 80%]" caption="Pareto Target 80%" measure="1" displayFolder="" measureGroup="Transactions" count="0"/>
    <cacheHierarchy uniqueName="[Measures].[Country N]" caption="Country N" measure="1" displayFolder="" measureGroup="Transactions" count="0"/>
    <cacheHierarchy uniqueName="[Measures].[Relative Risk %]" caption="Relative Risk %" measure="1" displayFolder="" measureGroup="Transactions" count="0"/>
    <cacheHierarchy uniqueName="[Measures].[__XL_Count Transactions]" caption="__XL_Count Transactions" measure="1" displayFolder="" measureGroup="Transactions" count="0" hidden="1"/>
    <cacheHierarchy uniqueName="[Measures].[__XL_Count RiskDim]" caption="__XL_Count RiskDim" measure="1" displayFolder="" measureGroup="RiskDim" count="0" hidden="1"/>
    <cacheHierarchy uniqueName="[Measures].[__No measures defined]" caption="__No measures defined" measure="1" displayFolder="" count="0" hidden="1"/>
  </cacheHierarchies>
  <kpis count="0"/>
  <dimensions count="3">
    <dimension measure="1" name="Measures" uniqueName="[Measures]" caption="Measures"/>
    <dimension name="RiskDim" uniqueName="[RiskDim]" caption="RiskDim"/>
    <dimension name="Transactions" uniqueName="[Transactions]" caption="Transactions"/>
  </dimensions>
  <measureGroups count="2">
    <measureGroup name="RiskDim" caption="RiskDim"/>
    <measureGroup name="Transactions" caption="Transaction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5.56528599537" backgroundQuery="1" createdVersion="8" refreshedVersion="8" minRefreshableVersion="3" recordCount="0" supportSubquery="1" supportAdvancedDrill="1" xr:uid="{DCC5B3CA-49F4-47CA-B7CB-AFF7274945BE}">
  <cacheSource type="external" connectionId="4"/>
  <cacheFields count="5">
    <cacheField name="[Transactions].[Country].[Country]" caption="Country" numFmtId="0" hierarchy="7" level="1">
      <sharedItems count="6">
        <s v="Australia"/>
        <s v="Canada"/>
        <s v="Germany"/>
        <s v="India"/>
        <s v="UK"/>
        <s v="USA"/>
      </sharedItems>
    </cacheField>
    <cacheField name="[RiskDim].[Risk Level].[Risk Level]" caption="Risk Level" numFmtId="0" level="1">
      <sharedItems count="3">
        <s v="High"/>
        <s v="Medium"/>
        <s v="Low"/>
      </sharedItems>
    </cacheField>
    <cacheField name="[Measures].[Total Txn Count]" caption="Total Txn Count" numFmtId="0" hierarchy="16" level="32767"/>
    <cacheField name="[Measures].[Fraud Txns]" caption="Fraud Txns" numFmtId="0" hierarchy="13" level="32767"/>
    <cacheField name="[Measures].[Fraud Rate %]" caption="Fraud Rate %" numFmtId="0" hierarchy="14" level="32767"/>
  </cacheFields>
  <cacheHierarchies count="37">
    <cacheHierarchy uniqueName="[RiskDim].[Risk Level]" caption="Risk Level" attribute="1" defaultMemberUniqueName="[RiskDim].[Risk Level].[All]" allUniqueName="[RiskDim].[Risk Level].[All]" dimensionUniqueName="[RiskDim]" displayFolder="" count="2" memberValueDatatype="130" unbalanced="0">
      <fieldsUsage count="2">
        <fieldUsage x="-1"/>
        <fieldUsage x="1"/>
      </fieldsUsage>
    </cacheHierarchy>
    <cacheHierarchy uniqueName="[RiskDim].[Risk Sort]" caption="Risk Sort" attribute="1" defaultMemberUniqueName="[RiskDim].[Risk Sort].[All]" allUniqueName="[RiskDim].[Risk Sort].[All]" dimensionUniqueName="[RiskDim]" displayFolder="" count="0" memberValueDatatype="2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ard ID]" caption="Card ID" attribute="1" defaultMemberUniqueName="[Transactions].[Card ID].[All]" allUniqueName="[Transactions].[Card ID].[All]" dimensionUniqueName="[Transactions]" displayFolder="" count="0" memberValueDatatype="130" unbalanced="0"/>
    <cacheHierarchy uniqueName="[Transactions].[Card Type]" caption="Card Type" attribute="1" defaultMemberUniqueName="[Transactions].[Card Type].[All]" allUniqueName="[Transactions].[Card Type].[All]" dimensionUniqueName="[Transactions]" displayFolder="" count="0" memberValueDatatype="130" unbalanced="0"/>
    <cacheHierarchy uniqueName="[Transactions].[Amount Spent (USD)]" caption="Amount Spent (USD)" attribute="1" defaultMemberUniqueName="[Transactions].[Amount Spent (USD)].[All]" allUniqueName="[Transactions].[Amount Spent (USD)].[All]" dimensionUniqueName="[Transactions]" displayFolder="" count="0" memberValueDatatype="5" unbalanced="0"/>
    <cacheHierarchy uniqueName="[Transactions].[Transaction Count]" caption="Transaction Count" attribute="1" defaultMemberUniqueName="[Transactions].[Transaction Count].[All]" allUniqueName="[Transactions].[Transaction Count].[All]" dimensionUniqueName="[Transactions]" displayFolder="" count="0" memberValueDatatype="20" unbalanced="0"/>
    <cacheHierarchy uniqueName="[Transactions].[Country]" caption="Country" attribute="1" defaultMemberUniqueName="[Transactions].[Country].[All]" allUniqueName="[Transactions].[Country].[All]" dimensionUniqueName="[Transactions]" displayFolder="" count="2" memberValueDatatype="130" unbalanced="0">
      <fieldsUsage count="2">
        <fieldUsage x="-1"/>
        <fieldUsage x="0"/>
      </fieldsUsage>
    </cacheHierarchy>
    <cacheHierarchy uniqueName="[Transactions].[Merchant Type]" caption="Merchant Type" attribute="1" defaultMemberUniqueName="[Transactions].[Merchant Type].[All]" allUniqueName="[Transactions].[Merchant Type].[All]" dimensionUniqueName="[Transactions]" displayFolder="" count="0" memberValueDatatype="130" unbalanced="0"/>
    <cacheHierarchy uniqueName="[Transactions].[Risk Level]" caption="Risk Level" attribute="1" defaultMemberUniqueName="[Transactions].[Risk Level].[All]" allUniqueName="[Transactions].[Risk Level].[All]" dimensionUniqueName="[Transactions]" displayFolder="" count="0" memberValueDatatype="130" unbalanced="0"/>
    <cacheHierarchy uniqueName="[Transactions].[Fraud Flag]" caption="Fraud Flag" attribute="1" defaultMemberUniqueName="[Transactions].[Fraud Flag].[All]" allUniqueName="[Transactions].[Fraud Flag].[All]" dimensionUniqueName="[Transactions]" displayFolder="" count="0" memberValueDatatype="20" unbalanced="0"/>
    <cacheHierarchy uniqueName="[Transactions].[Fraud Label]" caption="Fraud Label" attribute="1" defaultMemberUniqueName="[Transactions].[Fraud Label].[All]" allUniqueName="[Transactions].[Fraud Label].[All]" dimensionUniqueName="[Transactions]" displayFolder="" count="0" memberValueDatatype="130" unbalanced="0"/>
    <cacheHierarchy uniqueName="[Measures].[Sum of Transaction Count]" caption="Sum of Transaction Count" measure="1" displayFolder="" measureGroup="Transactions" count="0">
      <extLst>
        <ext xmlns:x15="http://schemas.microsoft.com/office/spreadsheetml/2010/11/main" uri="{B97F6D7D-B522-45F9-BDA1-12C45D357490}">
          <x15:cacheHierarchy aggregatedColumn="6"/>
        </ext>
      </extLst>
    </cacheHierarchy>
    <cacheHierarchy uniqueName="[Measures].[Fraud Txns]" caption="Fraud Txns" measure="1" displayFolder="" measureGroup="Transactions" count="0" oneField="1">
      <fieldsUsage count="1">
        <fieldUsage x="3"/>
      </fieldsUsage>
    </cacheHierarchy>
    <cacheHierarchy uniqueName="[Measures].[Fraud Rate %]" caption="Fraud Rate %" measure="1" displayFolder="" measureGroup="Transactions" count="0" oneField="1">
      <fieldsUsage count="1">
        <fieldUsage x="4"/>
      </fieldsUsage>
    </cacheHierarchy>
    <cacheHierarchy uniqueName="[Measures].[Total Spend]" caption="Total Spend" measure="1" displayFolder="" measureGroup="Transactions" count="0"/>
    <cacheHierarchy uniqueName="[Measures].[Total Txn Count]" caption="Total Txn Count" measure="1" displayFolder="" measureGroup="Transactions" count="0" oneField="1">
      <fieldsUsage count="1">
        <fieldUsage x="2"/>
      </fieldsUsage>
    </cacheHierarchy>
    <cacheHierarchy uniqueName="[Measures].[Avg Transaction Amount (All)]" caption="Avg Transaction Amount (All)" measure="1" displayFolder="" measureGroup="Transactions" count="0"/>
    <cacheHierarchy uniqueName="[Measures].[Avg Transaction Amount (Fraud)]" caption="Avg Transaction Amount (Fraud)" measure="1" displayFolder="" measureGroup="Transactions" count="0"/>
    <cacheHierarchy uniqueName="[Measures].[Avg Transaction Amount (Non-Fraud)]" caption="Avg Transaction Amount (Non-Fraud)" measure="1" displayFolder="" measureGroup="Transactions" count="0"/>
    <cacheHierarchy uniqueName="[Measures].[Avg Transaction Amount Δ]" caption="Avg Transaction Amount Δ" measure="1" displayFolder="" measureGroup="Transactions" count="0"/>
    <cacheHierarchy uniqueName="[Measures].[High-Risk Txns]" caption="High-Risk Txns" measure="1" displayFolder="" measureGroup="Transactions" count="0"/>
    <cacheHierarchy uniqueName="[Measures].[High-Risk %]" caption="High-Risk %" measure="1" displayFolder="" measureGroup="Transactions" count="0"/>
    <cacheHierarchy uniqueName="[Measures].[Portfolio Rate]" caption="Portfolio Rate" measure="1" displayFolder="" measureGroup="Transactions" count="0"/>
    <cacheHierarchy uniqueName="[Measures].[Fraud Lift]" caption="Fraud Lift" measure="1" displayFolder="" measureGroup="Transactions" count="0"/>
    <cacheHierarchy uniqueName="[Measures].[Fraud Rank (Merchant)]" caption="Fraud Rank (Merchant)" measure="1" displayFolder="" measureGroup="Transactions" count="0"/>
    <cacheHierarchy uniqueName="[Measures].[Cum Fraud (Merchant)]" caption="Cum Fraud (Merchant)" measure="1" displayFolder="" measureGroup="Transactions" count="0"/>
    <cacheHierarchy uniqueName="[Measures].[Cum % Fraud (Merchant)]" caption="Cum % Fraud (Merchant)" measure="1" displayFolder="" measureGroup="Transactions" count="0"/>
    <cacheHierarchy uniqueName="[Measures].[Top 80% Flag (Merchant)]" caption="Top 80% Flag (Merchant)" measure="1" displayFolder="" measureGroup="Transactions" count="0"/>
    <cacheHierarchy uniqueName="[Measures].[Fraud Txns (Top 80)]" caption="Fraud Txns (Top 80)" measure="1" displayFolder="" measureGroup="Transactions" count="0"/>
    <cacheHierarchy uniqueName="[Measures].[Fraud Txns (Tail)]" caption="Fraud Txns (Tail)" measure="1" displayFolder="" measureGroup="Transactions" count="0"/>
    <cacheHierarchy uniqueName="[Measures].[Pareto Target 80%]" caption="Pareto Target 80%" measure="1" displayFolder="" measureGroup="Transactions" count="0"/>
    <cacheHierarchy uniqueName="[Measures].[Country N]" caption="Country N" measure="1" displayFolder="" measureGroup="Transactions" count="0"/>
    <cacheHierarchy uniqueName="[Measures].[Relative Risk %]" caption="Relative Risk %" measure="1" displayFolder="" measureGroup="Transactions" count="0"/>
    <cacheHierarchy uniqueName="[Measures].[__XL_Count Transactions]" caption="__XL_Count Transactions" measure="1" displayFolder="" measureGroup="Transactions" count="0" hidden="1"/>
    <cacheHierarchy uniqueName="[Measures].[__XL_Count RiskDim]" caption="__XL_Count RiskDim" measure="1" displayFolder="" measureGroup="RiskDim" count="0" hidden="1"/>
    <cacheHierarchy uniqueName="[Measures].[__No measures defined]" caption="__No measures defined" measure="1" displayFolder="" count="0" hidden="1"/>
  </cacheHierarchies>
  <kpis count="0"/>
  <dimensions count="3">
    <dimension measure="1" name="Measures" uniqueName="[Measures]" caption="Measures"/>
    <dimension name="RiskDim" uniqueName="[RiskDim]" caption="RiskDim"/>
    <dimension name="Transactions" uniqueName="[Transactions]" caption="Transactions"/>
  </dimensions>
  <measureGroups count="2">
    <measureGroup name="RiskDim" caption="RiskDim"/>
    <measureGroup name="Transactions" caption="Transaction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2.653274999997" backgroundQuery="1" createdVersion="3" refreshedVersion="8" minRefreshableVersion="3" recordCount="0" supportSubquery="1" supportAdvancedDrill="1" xr:uid="{1CA93462-29E5-48CE-BA74-C83BD3985C49}">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RiskDim].[Risk Level]" caption="Risk Level" attribute="1" defaultMemberUniqueName="[RiskDim].[Risk Level].[All]" allUniqueName="[RiskDim].[Risk Level].[All]" dimensionUniqueName="[RiskDim]" displayFolder="" count="2" memberValueDatatype="130" unbalanced="0"/>
    <cacheHierarchy uniqueName="[RiskDim].[Risk Sort]" caption="Risk Sort" attribute="1" defaultMemberUniqueName="[RiskDim].[Risk Sort].[All]" allUniqueName="[RiskDim].[Risk Sort].[All]" dimensionUniqueName="[RiskDim]" displayFolder="" count="0" memberValueDatatype="2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ard ID]" caption="Card ID" attribute="1" defaultMemberUniqueName="[Transactions].[Card ID].[All]" allUniqueName="[Transactions].[Card ID].[All]" dimensionUniqueName="[Transactions]" displayFolder="" count="0" memberValueDatatype="130" unbalanced="0"/>
    <cacheHierarchy uniqueName="[Transactions].[Card Type]" caption="Card Type" attribute="1" defaultMemberUniqueName="[Transactions].[Card Type].[All]" allUniqueName="[Transactions].[Card Type].[All]" dimensionUniqueName="[Transactions]" displayFolder="" count="2" memberValueDatatype="130" unbalanced="0"/>
    <cacheHierarchy uniqueName="[Transactions].[Amount Spent (USD)]" caption="Amount Spent (USD)" attribute="1" defaultMemberUniqueName="[Transactions].[Amount Spent (USD)].[All]" allUniqueName="[Transactions].[Amount Spent (USD)].[All]" dimensionUniqueName="[Transactions]" displayFolder="" count="0" memberValueDatatype="5" unbalanced="0"/>
    <cacheHierarchy uniqueName="[Transactions].[Transaction Count]" caption="Transaction Count" attribute="1" defaultMemberUniqueName="[Transactions].[Transaction Count].[All]" allUniqueName="[Transactions].[Transaction Count].[All]" dimensionUniqueName="[Transactions]" displayFolder="" count="0" memberValueDatatype="20" unbalanced="0"/>
    <cacheHierarchy uniqueName="[Transactions].[Country]" caption="Country" attribute="1" defaultMemberUniqueName="[Transactions].[Country].[All]" allUniqueName="[Transactions].[Country].[All]" dimensionUniqueName="[Transactions]" displayFolder="" count="2" memberValueDatatype="130" unbalanced="0"/>
    <cacheHierarchy uniqueName="[Transactions].[Merchant Type]" caption="Merchant Type" attribute="1" defaultMemberUniqueName="[Transactions].[Merchant Type].[All]" allUniqueName="[Transactions].[Merchant Type].[All]" dimensionUniqueName="[Transactions]" displayFolder="" count="2" memberValueDatatype="130" unbalanced="0"/>
    <cacheHierarchy uniqueName="[Transactions].[Risk Level]" caption="Risk Level" attribute="1" defaultMemberUniqueName="[Transactions].[Risk Level].[All]" allUniqueName="[Transactions].[Risk Level].[All]" dimensionUniqueName="[Transactions]" displayFolder="" count="0" memberValueDatatype="130" unbalanced="0"/>
    <cacheHierarchy uniqueName="[Transactions].[Fraud Flag]" caption="Fraud Flag" attribute="1" defaultMemberUniqueName="[Transactions].[Fraud Flag].[All]" allUniqueName="[Transactions].[Fraud Flag].[All]" dimensionUniqueName="[Transactions]" displayFolder="" count="0" memberValueDatatype="20" unbalanced="0"/>
    <cacheHierarchy uniqueName="[Transactions].[Fraud Label]" caption="Fraud Label" attribute="1" defaultMemberUniqueName="[Transactions].[Fraud Label].[All]" allUniqueName="[Transactions].[Fraud Label].[All]" dimensionUniqueName="[Transactions]" displayFolder="" count="0" memberValueDatatype="130" unbalanced="0"/>
    <cacheHierarchy uniqueName="[Measures].[Sum of Transaction Count]" caption="Sum of Transaction Count" measure="1" displayFolder="" measureGroup="Transactions" count="0">
      <extLst>
        <ext xmlns:x15="http://schemas.microsoft.com/office/spreadsheetml/2010/11/main" uri="{B97F6D7D-B522-45F9-BDA1-12C45D357490}">
          <x15:cacheHierarchy aggregatedColumn="6"/>
        </ext>
      </extLst>
    </cacheHierarchy>
    <cacheHierarchy uniqueName="[Measures].[Fraud Txns]" caption="Fraud Txns" measure="1" displayFolder="" measureGroup="Transactions" count="0"/>
    <cacheHierarchy uniqueName="[Measures].[Fraud Rate %]" caption="Fraud Rate %" measure="1" displayFolder="" measureGroup="Transactions" count="0"/>
    <cacheHierarchy uniqueName="[Measures].[Total Spend]" caption="Total Spend" measure="1" displayFolder="" measureGroup="Transactions" count="0"/>
    <cacheHierarchy uniqueName="[Measures].[Total Txn Count]" caption="Total Txn Count" measure="1" displayFolder="" measureGroup="Transactions" count="0"/>
    <cacheHierarchy uniqueName="[Measures].[Avg Transaction Amount (All)]" caption="Avg Transaction Amount (All)" measure="1" displayFolder="" measureGroup="Transactions" count="0"/>
    <cacheHierarchy uniqueName="[Measures].[Avg Transaction Amount (Fraud)]" caption="Avg Transaction Amount (Fraud)" measure="1" displayFolder="" measureGroup="Transactions" count="0"/>
    <cacheHierarchy uniqueName="[Measures].[Avg Transaction Amount (Non-Fraud)]" caption="Avg Transaction Amount (Non-Fraud)" measure="1" displayFolder="" measureGroup="Transactions" count="0"/>
    <cacheHierarchy uniqueName="[Measures].[Avg Transaction Amount Δ]" caption="Avg Transaction Amount Δ" measure="1" displayFolder="" measureGroup="Transactions" count="0"/>
    <cacheHierarchy uniqueName="[Measures].[High-Risk Txns]" caption="High-Risk Txns" measure="1" displayFolder="" measureGroup="Transactions" count="0"/>
    <cacheHierarchy uniqueName="[Measures].[High-Risk %]" caption="High-Risk %" measure="1" displayFolder="" measureGroup="Transactions" count="0"/>
    <cacheHierarchy uniqueName="[Measures].[Portfolio Rate]" caption="Portfolio Rate" measure="1" displayFolder="" measureGroup="Transactions" count="0"/>
    <cacheHierarchy uniqueName="[Measures].[Fraud Lift]" caption="Fraud Lift" measure="1" displayFolder="" measureGroup="Transactions" count="0"/>
    <cacheHierarchy uniqueName="[Measures].[Fraud Rank (Merchant)]" caption="Fraud Rank (Merchant)" measure="1" displayFolder="" measureGroup="Transactions" count="0"/>
    <cacheHierarchy uniqueName="[Measures].[Cum Fraud (Merchant)]" caption="Cum Fraud (Merchant)" measure="1" displayFolder="" measureGroup="Transactions" count="0"/>
    <cacheHierarchy uniqueName="[Measures].[Cum % Fraud (Merchant)]" caption="Cum % Fraud (Merchant)" measure="1" displayFolder="" measureGroup="Transactions" count="0"/>
    <cacheHierarchy uniqueName="[Measures].[Top 80% Flag (Merchant)]" caption="Top 80% Flag (Merchant)" measure="1" displayFolder="" measureGroup="Transactions" count="0"/>
    <cacheHierarchy uniqueName="[Measures].[Fraud Txns (Top 80)]" caption="Fraud Txns (Top 80)" measure="1" displayFolder="" measureGroup="Transactions" count="0"/>
    <cacheHierarchy uniqueName="[Measures].[Fraud Txns (Tail)]" caption="Fraud Txns (Tail)" measure="1" displayFolder="" measureGroup="Transactions" count="0"/>
    <cacheHierarchy uniqueName="[Measures].[Pareto Target 80%]" caption="Pareto Target 80%" measure="1" displayFolder="" measureGroup="Transactions" count="0"/>
    <cacheHierarchy uniqueName="[Measures].[Country N]" caption="Country N" measure="1" displayFolder="" measureGroup="Transactions" count="0"/>
    <cacheHierarchy uniqueName="[Measures].[Relative Risk %]" caption="Relative Risk %" measure="1" displayFolder="" measureGroup="Transactions" count="0"/>
    <cacheHierarchy uniqueName="[Measures].[__XL_Count Transactions]" caption="__XL_Count Transactions" measure="1" displayFolder="" measureGroup="Transactions" count="0" hidden="1"/>
    <cacheHierarchy uniqueName="[Measures].[__XL_Count RiskDim]" caption="__XL_Count RiskDim" measure="1" displayFolder="" measureGroup="RiskDim"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772837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117A51-AE7B-4C6B-827C-0B8951CCD4B1}" name="Merchant Fraud" cacheId="3" applyNumberFormats="0" applyBorderFormats="0" applyFontFormats="0" applyPatternFormats="0" applyAlignmentFormats="0" applyWidthHeightFormats="1" dataCaption="Values" tag="ad3f4097-252b-4998-a268-10be34b6457a" updatedVersion="8" minRefreshableVersion="3" useAutoFormatting="1" subtotalHiddenItems="1" itemPrintTitles="1" createdVersion="8" indent="0" outline="1" outlineData="1" multipleFieldFilters="0" chartFormat="30">
  <location ref="H1:K8" firstHeaderRow="0" firstDataRow="1" firstDataCol="1"/>
  <pivotFields count="5">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2"/>
    </i>
    <i>
      <x v="5"/>
    </i>
    <i>
      <x v="1"/>
    </i>
    <i>
      <x v="3"/>
    </i>
    <i>
      <x v="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4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pivotArea type="data" outline="0" fieldPosition="0">
        <references count="2">
          <reference field="4294967294" count="1" selected="0">
            <x v="0"/>
          </reference>
          <reference field="0" count="1" selected="0">
            <x v="3"/>
          </reference>
        </references>
      </pivotArea>
    </chartFormat>
    <chartFormat chart="11" format="4">
      <pivotArea type="data" outline="0" fieldPosition="0">
        <references count="2">
          <reference field="4294967294" count="1" selected="0">
            <x v="2"/>
          </reference>
          <reference field="0" count="1" selected="0">
            <x v="4"/>
          </reference>
        </references>
      </pivotArea>
    </chartFormat>
    <chartFormat chart="11" format="5">
      <pivotArea type="data" outline="0" fieldPosition="0">
        <references count="2">
          <reference field="4294967294" count="1" selected="0">
            <x v="2"/>
          </reference>
          <reference field="0" count="1" selected="0">
            <x v="3"/>
          </reference>
        </references>
      </pivotArea>
    </chartFormat>
    <chartFormat chart="11" format="6">
      <pivotArea type="data" outline="0" fieldPosition="0">
        <references count="2">
          <reference field="4294967294" count="1" selected="0">
            <x v="2"/>
          </reference>
          <reference field="0" count="1" selected="0">
            <x v="2"/>
          </reference>
        </references>
      </pivotArea>
    </chartFormat>
    <chartFormat chart="11" format="7">
      <pivotArea type="data" outline="0" fieldPosition="0">
        <references count="2">
          <reference field="4294967294" count="1" selected="0">
            <x v="2"/>
          </reference>
          <reference field="0" count="1" selected="0">
            <x v="5"/>
          </reference>
        </references>
      </pivotArea>
    </chartFormat>
    <chartFormat chart="11" format="8">
      <pivotArea type="data" outline="0" fieldPosition="0">
        <references count="2">
          <reference field="4294967294" count="1" selected="0">
            <x v="2"/>
          </reference>
          <reference field="0" count="1" selected="0">
            <x v="0"/>
          </reference>
        </references>
      </pivotArea>
    </chartFormat>
    <chartFormat chart="11" format="9">
      <pivotArea type="data" outline="0" fieldPosition="0">
        <references count="2">
          <reference field="4294967294" count="1" selected="0">
            <x v="1"/>
          </reference>
          <reference field="0" count="1" selected="0">
            <x v="2"/>
          </reference>
        </references>
      </pivotArea>
    </chartFormat>
    <chartFormat chart="11" format="10">
      <pivotArea type="data" outline="0" fieldPosition="0">
        <references count="2">
          <reference field="4294967294" count="1" selected="0">
            <x v="1"/>
          </reference>
          <reference field="0" count="1" selected="0">
            <x v="3"/>
          </reference>
        </references>
      </pivotArea>
    </chartFormat>
    <chartFormat chart="11" format="11">
      <pivotArea type="data" outline="0" fieldPosition="0">
        <references count="2">
          <reference field="4294967294" count="1" selected="0">
            <x v="1"/>
          </reference>
          <reference field="0" count="1" selected="0">
            <x v="1"/>
          </reference>
        </references>
      </pivotArea>
    </chartFormat>
    <chartFormat chart="11" format="12">
      <pivotArea type="data" outline="0" fieldPosition="0">
        <references count="2">
          <reference field="4294967294" count="1" selected="0">
            <x v="1"/>
          </reference>
          <reference field="0" count="1" selected="0">
            <x v="0"/>
          </reference>
        </references>
      </pivotArea>
    </chartFormat>
    <chartFormat chart="11" format="13">
      <pivotArea type="data" outline="0" fieldPosition="0">
        <references count="2">
          <reference field="4294967294" count="1" selected="0">
            <x v="1"/>
          </reference>
          <reference field="0" count="1" selected="0">
            <x v="5"/>
          </reference>
        </references>
      </pivotArea>
    </chartFormat>
    <chartFormat chart="11" format="14">
      <pivotArea type="data" outline="0" fieldPosition="0">
        <references count="2">
          <reference field="4294967294" count="1" selected="0">
            <x v="1"/>
          </reference>
          <reference field="0" count="1" selected="0">
            <x v="4"/>
          </reference>
        </references>
      </pivotArea>
    </chartFormat>
    <chartFormat chart="22" format="28" series="1">
      <pivotArea type="data" outline="0" fieldPosition="0">
        <references count="1">
          <reference field="4294967294" count="1" selected="0">
            <x v="0"/>
          </reference>
        </references>
      </pivotArea>
    </chartFormat>
    <chartFormat chart="22" format="29">
      <pivotArea type="data" outline="0" fieldPosition="0">
        <references count="2">
          <reference field="4294967294" count="1" selected="0">
            <x v="0"/>
          </reference>
          <reference field="0" count="1" selected="0">
            <x v="3"/>
          </reference>
        </references>
      </pivotArea>
    </chartFormat>
    <chartFormat chart="22" format="30" series="1">
      <pivotArea type="data" outline="0" fieldPosition="0">
        <references count="1">
          <reference field="4294967294" count="1" selected="0">
            <x v="1"/>
          </reference>
        </references>
      </pivotArea>
    </chartFormat>
    <chartFormat chart="22" format="31">
      <pivotArea type="data" outline="0" fieldPosition="0">
        <references count="2">
          <reference field="4294967294" count="1" selected="0">
            <x v="1"/>
          </reference>
          <reference field="0" count="1" selected="0">
            <x v="5"/>
          </reference>
        </references>
      </pivotArea>
    </chartFormat>
    <chartFormat chart="22" format="32">
      <pivotArea type="data" outline="0" fieldPosition="0">
        <references count="2">
          <reference field="4294967294" count="1" selected="0">
            <x v="1"/>
          </reference>
          <reference field="0" count="1" selected="0">
            <x v="2"/>
          </reference>
        </references>
      </pivotArea>
    </chartFormat>
    <chartFormat chart="22" format="33">
      <pivotArea type="data" outline="0" fieldPosition="0">
        <references count="2">
          <reference field="4294967294" count="1" selected="0">
            <x v="1"/>
          </reference>
          <reference field="0" count="1" selected="0">
            <x v="3"/>
          </reference>
        </references>
      </pivotArea>
    </chartFormat>
    <chartFormat chart="22" format="34">
      <pivotArea type="data" outline="0" fieldPosition="0">
        <references count="2">
          <reference field="4294967294" count="1" selected="0">
            <x v="1"/>
          </reference>
          <reference field="0" count="1" selected="0">
            <x v="1"/>
          </reference>
        </references>
      </pivotArea>
    </chartFormat>
    <chartFormat chart="22" format="35" series="1">
      <pivotArea type="data" outline="0" fieldPosition="0">
        <references count="1">
          <reference field="4294967294" count="1" selected="0">
            <x v="2"/>
          </reference>
        </references>
      </pivotArea>
    </chartFormat>
    <chartFormat chart="22" format="36">
      <pivotArea type="data" outline="0" fieldPosition="0">
        <references count="2">
          <reference field="4294967294" count="1" selected="0">
            <x v="2"/>
          </reference>
          <reference field="0" count="1" selected="0">
            <x v="0"/>
          </reference>
        </references>
      </pivotArea>
    </chartFormat>
    <chartFormat chart="22" format="37">
      <pivotArea type="data" outline="0" fieldPosition="0">
        <references count="2">
          <reference field="4294967294" count="1" selected="0">
            <x v="2"/>
          </reference>
          <reference field="0" count="1" selected="0">
            <x v="5"/>
          </reference>
        </references>
      </pivotArea>
    </chartFormat>
    <chartFormat chart="22" format="38">
      <pivotArea type="data" outline="0" fieldPosition="0">
        <references count="2">
          <reference field="4294967294" count="1" selected="0">
            <x v="2"/>
          </reference>
          <reference field="0" count="1" selected="0">
            <x v="2"/>
          </reference>
        </references>
      </pivotArea>
    </chartFormat>
    <chartFormat chart="22" format="39">
      <pivotArea type="data" outline="0" fieldPosition="0">
        <references count="2">
          <reference field="4294967294" count="1" selected="0">
            <x v="2"/>
          </reference>
          <reference field="0" count="1" selected="0">
            <x v="3"/>
          </reference>
        </references>
      </pivotArea>
    </chartFormat>
    <chartFormat chart="22" format="40">
      <pivotArea type="data" outline="0" fieldPosition="0">
        <references count="2">
          <reference field="4294967294" count="1" selected="0">
            <x v="2"/>
          </reference>
          <reference field="0" count="1" selected="0">
            <x v="4"/>
          </reference>
        </references>
      </pivotArea>
    </chartFormat>
    <chartFormat chart="11" format="15">
      <pivotArea type="data" outline="0" fieldPosition="0">
        <references count="2">
          <reference field="4294967294" count="1" selected="0">
            <x v="2"/>
          </reference>
          <reference field="0" count="1" selected="0">
            <x v="1"/>
          </reference>
        </references>
      </pivotArea>
    </chartFormat>
    <chartFormat chart="28" format="31" series="1">
      <pivotArea type="data" outline="0" fieldPosition="0">
        <references count="1">
          <reference field="4294967294" count="1" selected="0">
            <x v="0"/>
          </reference>
        </references>
      </pivotArea>
    </chartFormat>
    <chartFormat chart="28" format="32">
      <pivotArea type="data" outline="0" fieldPosition="0">
        <references count="2">
          <reference field="4294967294" count="1" selected="0">
            <x v="0"/>
          </reference>
          <reference field="0" count="1" selected="0">
            <x v="3"/>
          </reference>
        </references>
      </pivotArea>
    </chartFormat>
    <chartFormat chart="28" format="33" series="1">
      <pivotArea type="data" outline="0" fieldPosition="0">
        <references count="1">
          <reference field="4294967294" count="1" selected="0">
            <x v="1"/>
          </reference>
        </references>
      </pivotArea>
    </chartFormat>
    <chartFormat chart="28" format="34">
      <pivotArea type="data" outline="0" fieldPosition="0">
        <references count="2">
          <reference field="4294967294" count="1" selected="0">
            <x v="1"/>
          </reference>
          <reference field="0" count="1" selected="0">
            <x v="2"/>
          </reference>
        </references>
      </pivotArea>
    </chartFormat>
    <chartFormat chart="28" format="35">
      <pivotArea type="data" outline="0" fieldPosition="0">
        <references count="2">
          <reference field="4294967294" count="1" selected="0">
            <x v="1"/>
          </reference>
          <reference field="0" count="1" selected="0">
            <x v="5"/>
          </reference>
        </references>
      </pivotArea>
    </chartFormat>
    <chartFormat chart="28" format="36">
      <pivotArea type="data" outline="0" fieldPosition="0">
        <references count="2">
          <reference field="4294967294" count="1" selected="0">
            <x v="1"/>
          </reference>
          <reference field="0" count="1" selected="0">
            <x v="1"/>
          </reference>
        </references>
      </pivotArea>
    </chartFormat>
    <chartFormat chart="28" format="37">
      <pivotArea type="data" outline="0" fieldPosition="0">
        <references count="2">
          <reference field="4294967294" count="1" selected="0">
            <x v="1"/>
          </reference>
          <reference field="0" count="1" selected="0">
            <x v="3"/>
          </reference>
        </references>
      </pivotArea>
    </chartFormat>
    <chartFormat chart="28" format="38">
      <pivotArea type="data" outline="0" fieldPosition="0">
        <references count="2">
          <reference field="4294967294" count="1" selected="0">
            <x v="1"/>
          </reference>
          <reference field="0" count="1" selected="0">
            <x v="4"/>
          </reference>
        </references>
      </pivotArea>
    </chartFormat>
    <chartFormat chart="28" format="39" series="1">
      <pivotArea type="data" outline="0" fieldPosition="0">
        <references count="1">
          <reference field="4294967294" count="1" selected="0">
            <x v="2"/>
          </reference>
        </references>
      </pivotArea>
    </chartFormat>
    <chartFormat chart="28" format="40">
      <pivotArea type="data" outline="0" fieldPosition="0">
        <references count="2">
          <reference field="4294967294" count="1" selected="0">
            <x v="2"/>
          </reference>
          <reference field="0" count="1" selected="0">
            <x v="0"/>
          </reference>
        </references>
      </pivotArea>
    </chartFormat>
    <chartFormat chart="28" format="41">
      <pivotArea type="data" outline="0" fieldPosition="0">
        <references count="2">
          <reference field="4294967294" count="1" selected="0">
            <x v="2"/>
          </reference>
          <reference field="0" count="1" selected="0">
            <x v="2"/>
          </reference>
        </references>
      </pivotArea>
    </chartFormat>
    <chartFormat chart="28" format="42">
      <pivotArea type="data" outline="0" fieldPosition="0">
        <references count="2">
          <reference field="4294967294" count="1" selected="0">
            <x v="2"/>
          </reference>
          <reference field="0" count="1" selected="0">
            <x v="5"/>
          </reference>
        </references>
      </pivotArea>
    </chartFormat>
    <chartFormat chart="28" format="43">
      <pivotArea type="data" outline="0" fieldPosition="0">
        <references count="2">
          <reference field="4294967294" count="1" selected="0">
            <x v="2"/>
          </reference>
          <reference field="0" count="1" selected="0">
            <x v="1"/>
          </reference>
        </references>
      </pivotArea>
    </chartFormat>
    <chartFormat chart="28" format="44">
      <pivotArea type="data" outline="0" fieldPosition="0">
        <references count="2">
          <reference field="4294967294" count="1" selected="0">
            <x v="2"/>
          </reference>
          <reference field="0" count="1" selected="0">
            <x v="3"/>
          </reference>
        </references>
      </pivotArea>
    </chartFormat>
    <chartFormat chart="28" format="45">
      <pivotArea type="data" outline="0" fieldPosition="0">
        <references count="2">
          <reference field="4294967294" count="1" selected="0">
            <x v="2"/>
          </reference>
          <reference field="0" count="1" selected="0">
            <x v="4"/>
          </reference>
        </references>
      </pivotArea>
    </chartFormat>
  </chartFormats>
  <pivotHierarchies count="37">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isk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6A3C53-50C5-421E-8BB0-F6FBCC73C7B7}" name="Fraud Rate by Card Type (vs Portfolio)" cacheId="2" applyNumberFormats="0" applyBorderFormats="0" applyFontFormats="0" applyPatternFormats="0" applyAlignmentFormats="0" applyWidthHeightFormats="1" dataCaption="Values" tag="9eadf19a-e435-40eb-8e99-fa0a34cb0000" updatedVersion="8" minRefreshableVersion="3" useAutoFormatting="1" subtotalHiddenItems="1" itemPrintTitles="1" createdVersion="8" indent="0" outline="1" outlineData="1" multipleFieldFilters="0" chartFormat="18">
  <location ref="A1:C6"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3"/>
    </i>
    <i>
      <x v="2"/>
    </i>
    <i>
      <x v="1"/>
    </i>
    <i t="grand">
      <x/>
    </i>
  </rowItems>
  <colFields count="1">
    <field x="-2"/>
  </colFields>
  <colItems count="2">
    <i>
      <x/>
    </i>
    <i i="1">
      <x v="1"/>
    </i>
  </colItems>
  <dataFields count="2">
    <dataField fld="1" subtotal="count" baseField="0" baseItem="0"/>
    <dataField fld="2" subtotal="count" baseField="0" baseItem="0"/>
  </dataFields>
  <chartFormats count="10">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pivotArea type="data" outline="0" fieldPosition="0">
        <references count="2">
          <reference field="4294967294" count="1" selected="0">
            <x v="1"/>
          </reference>
          <reference field="0" count="1" selected="0">
            <x v="0"/>
          </reference>
        </references>
      </pivotArea>
    </chartFormat>
    <chartFormat chart="13" format="3">
      <pivotArea type="data" outline="0" fieldPosition="0">
        <references count="2">
          <reference field="4294967294" count="1" selected="0">
            <x v="1"/>
          </reference>
          <reference field="0" count="1" selected="0">
            <x v="3"/>
          </reference>
        </references>
      </pivotArea>
    </chartFormat>
    <chartFormat chart="13" format="4">
      <pivotArea type="data" outline="0" fieldPosition="0">
        <references count="2">
          <reference field="4294967294" count="1" selected="0">
            <x v="1"/>
          </reference>
          <reference field="0" count="1" selected="0">
            <x v="2"/>
          </reference>
        </references>
      </pivotArea>
    </chartFormat>
    <chartFormat chart="16" format="10"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1"/>
          </reference>
        </references>
      </pivotArea>
    </chartFormat>
    <chartFormat chart="16" format="12">
      <pivotArea type="data" outline="0" fieldPosition="0">
        <references count="2">
          <reference field="4294967294" count="1" selected="0">
            <x v="1"/>
          </reference>
          <reference field="0" count="1" selected="0">
            <x v="0"/>
          </reference>
        </references>
      </pivotArea>
    </chartFormat>
    <chartFormat chart="16" format="13">
      <pivotArea type="data" outline="0" fieldPosition="0">
        <references count="2">
          <reference field="4294967294" count="1" selected="0">
            <x v="1"/>
          </reference>
          <reference field="0" count="1" selected="0">
            <x v="3"/>
          </reference>
        </references>
      </pivotArea>
    </chartFormat>
    <chartFormat chart="16" format="14">
      <pivotArea type="data" outline="0" fieldPosition="0">
        <references count="2">
          <reference field="4294967294" count="1" selected="0">
            <x v="1"/>
          </reference>
          <reference field="0" count="1" selected="0">
            <x v="2"/>
          </reference>
        </references>
      </pivotArea>
    </chartFormat>
  </chartFormats>
  <pivotHierarchies count="37">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ortfolio Fraud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isk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78DE31-A4BE-4A47-AEBE-CCE41ECCF02F}" name="KPIs" cacheId="6" applyNumberFormats="0" applyBorderFormats="0" applyFontFormats="0" applyPatternFormats="0" applyAlignmentFormats="0" applyWidthHeightFormats="1" dataCaption="Values" tag="a4c1f4a7-d547-4c0e-83f2-9e74ee28eecf" updatedVersion="8" minRefreshableVersion="3" useAutoFormatting="1" itemPrintTitles="1" createdVersion="8" indent="0" outline="1" outlineData="1" multipleFieldFilters="0">
  <location ref="A28:E2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7">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63E016-C4A9-4A33-B90A-307BA5832C8C}" name="Risk-level/Card Type" cacheId="5" applyNumberFormats="0" applyBorderFormats="0" applyFontFormats="0" applyPatternFormats="0" applyAlignmentFormats="0" applyWidthHeightFormats="1" dataCaption="Values" tag="e80f14a2-94ba-4419-8bbd-65f64692df01" updatedVersion="8" minRefreshableVersion="3" useAutoFormatting="1" subtotalHiddenItems="1" rowGrandTotals="0" colGrandTotals="0" itemPrintTitles="1" createdVersion="8" indent="0" compact="0" compactData="0" multipleFieldFilters="0" chartFormat="24">
  <location ref="T1:V13" firstHeaderRow="1" firstDataRow="1" firstDataCol="2"/>
  <pivotFields count="4">
    <pivotField axis="axisRow" compact="0" allDrilled="1" outline="0" subtotalTop="0" showAll="0" defaultSubtotal="0" defaultAttributeDrillState="1">
      <items count="4">
        <item x="0"/>
        <item x="1"/>
        <item x="2"/>
        <item x="3"/>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2">
    <field x="1"/>
    <field x="0"/>
  </rowFields>
  <rowItems count="12">
    <i>
      <x/>
      <x/>
    </i>
    <i r="1">
      <x v="1"/>
    </i>
    <i r="1">
      <x v="2"/>
    </i>
    <i r="1">
      <x v="3"/>
    </i>
    <i>
      <x v="1"/>
      <x/>
    </i>
    <i r="1">
      <x v="1"/>
    </i>
    <i r="1">
      <x v="2"/>
    </i>
    <i r="1">
      <x v="3"/>
    </i>
    <i>
      <x v="2"/>
      <x/>
    </i>
    <i r="1">
      <x v="1"/>
    </i>
    <i r="1">
      <x v="2"/>
    </i>
    <i r="1">
      <x v="3"/>
    </i>
  </rowItems>
  <colItems count="1">
    <i/>
  </colItems>
  <dataFields count="1">
    <dataField fld="2" subtotal="count" baseField="0" baseItem="0"/>
  </dataFields>
  <formats count="6">
    <format dxfId="77">
      <pivotArea outline="0" collapsedLevelsAreSubtotals="1" fieldPosition="0"/>
    </format>
    <format dxfId="76">
      <pivotArea outline="0" collapsedLevelsAreSubtotals="1" fieldPosition="0"/>
    </format>
    <format dxfId="75">
      <pivotArea outline="0" collapsedLevelsAreSubtotals="1" fieldPosition="0"/>
    </format>
    <format dxfId="74">
      <pivotArea dataOnly="0" outline="0" fieldPosition="0">
        <references count="1">
          <reference field="1" count="0"/>
        </references>
      </pivotArea>
    </format>
    <format dxfId="73">
      <pivotArea dataOnly="0" outline="0" fieldPosition="0">
        <references count="1">
          <reference field="1" count="0"/>
        </references>
      </pivotArea>
    </format>
    <format dxfId="72">
      <pivotArea outline="0" collapsedLevelsAreSubtotals="1" fieldPosition="0"/>
    </format>
  </formats>
  <chartFormats count="2">
    <chartFormat chart="16" format="14" series="1">
      <pivotArea type="data" outline="0" fieldPosition="0">
        <references count="1">
          <reference field="4294967294" count="1" selected="0">
            <x v="0"/>
          </reference>
        </references>
      </pivotArea>
    </chartFormat>
    <chartFormat chart="22" format="16" series="1">
      <pivotArea type="data" outline="0" fieldPosition="0">
        <references count="1">
          <reference field="4294967294" count="1" selected="0">
            <x v="0"/>
          </reference>
        </references>
      </pivotArea>
    </chartFormat>
  </chartFormats>
  <pivotHierarchies count="37">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ortfolio Fraud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0"/>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isk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1B6674-01D6-4AEF-B896-0CF4021CC8BE}" name="Country Fraud" cacheId="4" applyNumberFormats="0" applyBorderFormats="0" applyFontFormats="0" applyPatternFormats="0" applyAlignmentFormats="0" applyWidthHeightFormats="1" dataCaption="Values" tag="8f697b15-49e1-4fe5-b066-e64e79033dc4" updatedVersion="8" minRefreshableVersion="3" useAutoFormatting="1" subtotalHiddenItems="1" itemPrintTitles="1" createdVersion="8" indent="0" outline="1" outlineData="1" multipleFieldFilters="0" chartFormat="14">
  <location ref="M1:N8" firstHeaderRow="1" firstDataRow="1" firstDataCol="1"/>
  <pivotFields count="2">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1"/>
    </i>
    <i>
      <x v="4"/>
    </i>
    <i>
      <x v="5"/>
    </i>
    <i>
      <x v="2"/>
    </i>
    <i>
      <x v="3"/>
    </i>
    <i>
      <x/>
    </i>
    <i t="grand">
      <x/>
    </i>
  </rowItems>
  <colItems count="1">
    <i/>
  </colItems>
  <dataFields count="1">
    <dataField fld="1" subtotal="count" baseField="0" baseItem="0"/>
  </dataFields>
  <chartFormats count="2">
    <chartFormat chart="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Hierarchies count="37">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isk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1B35B3-CD8E-41F2-874F-B518DE35C728}" name="PivotTable3" cacheId="0" applyNumberFormats="0" applyBorderFormats="0" applyFontFormats="0" applyPatternFormats="0" applyAlignmentFormats="0" applyWidthHeightFormats="1" dataCaption="Values" tag="5e20ac19-1d37-4489-b470-ac12c06eaa40" updatedVersion="8" minRefreshableVersion="3" useAutoFormatting="1" itemPrintTitles="1" createdVersion="8" indent="0" compact="0" compactData="0" multipleFieldFilters="0">
  <location ref="P8:T33" firstHeaderRow="0" firstDataRow="1" firstDataCol="2"/>
  <pivotFields count="5">
    <pivotField axis="axisRow" compact="0" allDrilled="1" outline="0" subtotalTop="0" showAll="0" dataSourceSort="1" defaultSubtotal="0" defaultAttributeDrillState="1">
      <items count="6">
        <item x="0"/>
        <item x="1"/>
        <item x="2"/>
        <item x="3"/>
        <item x="4"/>
        <item x="5"/>
      </items>
    </pivotField>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2"/>
            </reference>
          </references>
        </pivotArea>
      </autoSortScope>
    </pivotField>
    <pivotField dataField="1" compact="0" outline="0" subtotalTop="0" showAll="0" defaultSubtotal="0"/>
    <pivotField dataField="1" compact="0" outline="0" subtotalTop="0" showAll="0" defaultSubtotal="0"/>
    <pivotField dataField="1" compact="0" outline="0" subtotalTop="0" showAll="0" defaultSubtotal="0"/>
  </pivotFields>
  <rowFields count="2">
    <field x="0"/>
    <field x="1"/>
  </rowFields>
  <rowItems count="25">
    <i>
      <x/>
      <x v="2"/>
    </i>
    <i r="1">
      <x/>
    </i>
    <i r="1">
      <x v="3"/>
    </i>
    <i r="1">
      <x v="1"/>
    </i>
    <i>
      <x v="1"/>
      <x v="1"/>
    </i>
    <i r="1">
      <x/>
    </i>
    <i r="1">
      <x v="2"/>
    </i>
    <i r="1">
      <x v="3"/>
    </i>
    <i>
      <x v="2"/>
      <x v="3"/>
    </i>
    <i r="1">
      <x/>
    </i>
    <i r="1">
      <x v="1"/>
    </i>
    <i r="1">
      <x v="2"/>
    </i>
    <i>
      <x v="3"/>
      <x v="3"/>
    </i>
    <i r="1">
      <x/>
    </i>
    <i r="1">
      <x v="2"/>
    </i>
    <i r="1">
      <x v="1"/>
    </i>
    <i>
      <x v="4"/>
      <x/>
    </i>
    <i r="1">
      <x v="3"/>
    </i>
    <i r="1">
      <x v="1"/>
    </i>
    <i r="1">
      <x v="2"/>
    </i>
    <i>
      <x v="5"/>
      <x v="2"/>
    </i>
    <i r="1">
      <x v="3"/>
    </i>
    <i r="1">
      <x v="1"/>
    </i>
    <i r="1">
      <x/>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formats count="24">
    <format dxfId="32">
      <pivotArea outline="0" fieldPosition="0">
        <references count="2">
          <reference field="0" count="0" selected="0"/>
          <reference field="1" count="0" selected="0"/>
        </references>
      </pivotArea>
    </format>
    <format dxfId="31">
      <pivotArea field="1" type="button" dataOnly="0" labelOnly="1" outline="0" axis="axisRow" fieldPosition="1"/>
    </format>
    <format dxfId="30">
      <pivotArea dataOnly="0" labelOnly="1" outline="0" fieldPosition="0">
        <references count="2">
          <reference field="0" count="1" selected="0">
            <x v="0"/>
          </reference>
          <reference field="1" count="0"/>
        </references>
      </pivotArea>
    </format>
    <format dxfId="29">
      <pivotArea dataOnly="0" labelOnly="1" outline="0" fieldPosition="0">
        <references count="2">
          <reference field="0" count="1" selected="0">
            <x v="1"/>
          </reference>
          <reference field="1" count="0"/>
        </references>
      </pivotArea>
    </format>
    <format dxfId="28">
      <pivotArea dataOnly="0" labelOnly="1" outline="0" fieldPosition="0">
        <references count="2">
          <reference field="0" count="1" selected="0">
            <x v="2"/>
          </reference>
          <reference field="1" count="0"/>
        </references>
      </pivotArea>
    </format>
    <format dxfId="27">
      <pivotArea dataOnly="0" labelOnly="1" outline="0" fieldPosition="0">
        <references count="2">
          <reference field="0" count="1" selected="0">
            <x v="3"/>
          </reference>
          <reference field="1" count="0"/>
        </references>
      </pivotArea>
    </format>
    <format dxfId="26">
      <pivotArea dataOnly="0" labelOnly="1" outline="0" fieldPosition="0">
        <references count="2">
          <reference field="0" count="1" selected="0">
            <x v="4"/>
          </reference>
          <reference field="1" count="0"/>
        </references>
      </pivotArea>
    </format>
    <format dxfId="25">
      <pivotArea dataOnly="0" labelOnly="1" outline="0" fieldPosition="0">
        <references count="2">
          <reference field="0" count="1" selected="0">
            <x v="5"/>
          </reference>
          <reference field="1" count="0"/>
        </references>
      </pivotArea>
    </format>
    <format dxfId="24">
      <pivotArea dataOnly="0" labelOnly="1" outline="0" fieldPosition="0">
        <references count="1">
          <reference field="4294967294" count="3">
            <x v="0"/>
            <x v="1"/>
            <x v="2"/>
          </reference>
        </references>
      </pivotArea>
    </format>
    <format dxfId="23">
      <pivotArea outline="0" fieldPosition="0">
        <references count="2">
          <reference field="0" count="0" selected="0"/>
          <reference field="1" count="0" selected="0"/>
        </references>
      </pivotArea>
    </format>
    <format dxfId="22">
      <pivotArea field="1" type="button" dataOnly="0" labelOnly="1" outline="0" axis="axisRow" fieldPosition="1"/>
    </format>
    <format dxfId="21">
      <pivotArea dataOnly="0" labelOnly="1" outline="0" fieldPosition="0">
        <references count="2">
          <reference field="0" count="1" selected="0">
            <x v="0"/>
          </reference>
          <reference field="1" count="0"/>
        </references>
      </pivotArea>
    </format>
    <format dxfId="20">
      <pivotArea dataOnly="0" labelOnly="1" outline="0" fieldPosition="0">
        <references count="2">
          <reference field="0" count="1" selected="0">
            <x v="1"/>
          </reference>
          <reference field="1" count="0"/>
        </references>
      </pivotArea>
    </format>
    <format dxfId="19">
      <pivotArea dataOnly="0" labelOnly="1" outline="0" fieldPosition="0">
        <references count="2">
          <reference field="0" count="1" selected="0">
            <x v="2"/>
          </reference>
          <reference field="1" count="0"/>
        </references>
      </pivotArea>
    </format>
    <format dxfId="18">
      <pivotArea dataOnly="0" labelOnly="1" outline="0" fieldPosition="0">
        <references count="2">
          <reference field="0" count="1" selected="0">
            <x v="3"/>
          </reference>
          <reference field="1" count="0"/>
        </references>
      </pivotArea>
    </format>
    <format dxfId="17">
      <pivotArea dataOnly="0" labelOnly="1" outline="0" fieldPosition="0">
        <references count="2">
          <reference field="0" count="1" selected="0">
            <x v="4"/>
          </reference>
          <reference field="1" count="0"/>
        </references>
      </pivotArea>
    </format>
    <format dxfId="16">
      <pivotArea dataOnly="0" labelOnly="1" outline="0" fieldPosition="0">
        <references count="2">
          <reference field="0" count="1" selected="0">
            <x v="5"/>
          </reference>
          <reference field="1" count="0"/>
        </references>
      </pivotArea>
    </format>
    <format dxfId="15">
      <pivotArea dataOnly="0" labelOnly="1" outline="0" fieldPosition="0">
        <references count="1">
          <reference field="4294967294" count="3">
            <x v="0"/>
            <x v="1"/>
            <x v="2"/>
          </reference>
        </references>
      </pivotArea>
    </format>
    <format dxfId="14">
      <pivotArea dataOnly="0" labelOnly="1" outline="0" fieldPosition="0">
        <references count="1">
          <reference field="0" count="1">
            <x v="0"/>
          </reference>
        </references>
      </pivotArea>
    </format>
    <format dxfId="13">
      <pivotArea dataOnly="0" labelOnly="1" outline="0" fieldPosition="0">
        <references count="1">
          <reference field="0" count="1">
            <x v="1"/>
          </reference>
        </references>
      </pivotArea>
    </format>
    <format dxfId="12">
      <pivotArea dataOnly="0" labelOnly="1" outline="0" fieldPosition="0">
        <references count="1">
          <reference field="0" count="1">
            <x v="2"/>
          </reference>
        </references>
      </pivotArea>
    </format>
    <format dxfId="11">
      <pivotArea dataOnly="0" labelOnly="1" outline="0" fieldPosition="0">
        <references count="1">
          <reference field="0" count="1">
            <x v="3"/>
          </reference>
        </references>
      </pivotArea>
    </format>
    <format dxfId="10">
      <pivotArea dataOnly="0" labelOnly="1" outline="0" fieldPosition="0">
        <references count="1">
          <reference field="0" count="1">
            <x v="4"/>
          </reference>
        </references>
      </pivotArea>
    </format>
    <format dxfId="9">
      <pivotArea dataOnly="0" labelOnly="1" outline="0" fieldPosition="0">
        <references count="1">
          <reference field="0" count="1">
            <x v="5"/>
          </reference>
        </references>
      </pivotArea>
    </format>
  </formats>
  <conditionalFormats count="1">
    <conditionalFormat scope="data" priority="2">
      <pivotAreas count="1">
        <pivotArea outline="0" fieldPosition="0">
          <references count="1">
            <reference field="4294967294" count="1" selected="0">
              <x v="2"/>
            </reference>
          </references>
        </pivotArea>
      </pivotAreas>
    </conditionalFormat>
  </conditional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C840AE-C9E8-40C4-A6D3-B7B831325016}" name="PivotTable2" cacheId="7" applyNumberFormats="0" applyBorderFormats="0" applyFontFormats="0" applyPatternFormats="0" applyAlignmentFormats="0" applyWidthHeightFormats="1" dataCaption="Values" tag="700bb2f6-853d-469c-a7c9-0e5049115202" updatedVersion="8" minRefreshableVersion="3" useAutoFormatting="1" subtotalHiddenItems="1" itemPrintTitles="1" createdVersion="8" indent="0" compact="0" compactData="0" multipleFieldFilters="0" rowHeaderCaption="">
  <location ref="I8:M33" firstHeaderRow="0" firstDataRow="1" firstDataCol="2"/>
  <pivotFields count="5">
    <pivotField axis="axisRow" compact="0" allDrilled="1" outline="0" subtotalTop="0" showAll="0" dataSourceSort="1" defaultSubtotal="0" defaultAttributeDrillState="1">
      <items count="6">
        <item x="0"/>
        <item x="1"/>
        <item x="2"/>
        <item x="3"/>
        <item x="4"/>
        <item x="5"/>
      </items>
    </pivotField>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2"/>
            </reference>
          </references>
        </pivotArea>
      </autoSortScope>
    </pivotField>
    <pivotField dataField="1" compact="0" outline="0" subtotalTop="0" showAll="0" defaultSubtotal="0"/>
    <pivotField dataField="1" compact="0" outline="0" subtotalTop="0" showAll="0" defaultSubtotal="0"/>
    <pivotField dataField="1" compact="0" outline="0" subtotalTop="0" showAll="0" defaultSubtotal="0"/>
  </pivotFields>
  <rowFields count="2">
    <field x="0"/>
    <field x="1"/>
  </rowFields>
  <rowItems count="25">
    <i>
      <x/>
      <x v="3"/>
    </i>
    <i r="1">
      <x v="2"/>
    </i>
    <i r="1">
      <x/>
    </i>
    <i r="1">
      <x v="1"/>
    </i>
    <i>
      <x v="1"/>
      <x/>
    </i>
    <i r="1">
      <x v="3"/>
    </i>
    <i r="1">
      <x v="2"/>
    </i>
    <i r="1">
      <x v="1"/>
    </i>
    <i>
      <x v="2"/>
      <x/>
    </i>
    <i r="1">
      <x v="1"/>
    </i>
    <i r="1">
      <x v="3"/>
    </i>
    <i r="1">
      <x v="2"/>
    </i>
    <i>
      <x v="3"/>
      <x v="2"/>
    </i>
    <i r="1">
      <x/>
    </i>
    <i r="1">
      <x v="1"/>
    </i>
    <i r="1">
      <x v="3"/>
    </i>
    <i>
      <x v="4"/>
      <x/>
    </i>
    <i r="1">
      <x v="2"/>
    </i>
    <i r="1">
      <x v="3"/>
    </i>
    <i r="1">
      <x v="1"/>
    </i>
    <i>
      <x v="5"/>
      <x/>
    </i>
    <i r="1">
      <x v="2"/>
    </i>
    <i r="1">
      <x v="3"/>
    </i>
    <i r="1">
      <x v="1"/>
    </i>
    <i t="grand">
      <x/>
    </i>
  </rowItems>
  <colFields count="1">
    <field x="-2"/>
  </colFields>
  <colItems count="3">
    <i>
      <x/>
    </i>
    <i i="1">
      <x v="1"/>
    </i>
    <i i="2">
      <x v="2"/>
    </i>
  </colItems>
  <dataFields count="3">
    <dataField fld="3" subtotal="count" baseField="0" baseItem="0"/>
    <dataField fld="2" subtotal="count" baseField="0" baseItem="0"/>
    <dataField fld="4" subtotal="count" baseField="0" baseItem="0"/>
  </dataFields>
  <formats count="15">
    <format dxfId="47">
      <pivotArea outline="0" fieldPosition="0">
        <references count="2">
          <reference field="0" count="0" selected="0"/>
          <reference field="1" count="0" selected="0"/>
        </references>
      </pivotArea>
    </format>
    <format dxfId="46">
      <pivotArea field="1" type="button" dataOnly="0" labelOnly="1" outline="0" axis="axisRow" fieldPosition="1"/>
    </format>
    <format dxfId="45">
      <pivotArea dataOnly="0" labelOnly="1" outline="0" fieldPosition="0">
        <references count="2">
          <reference field="0" count="1" selected="0">
            <x v="0"/>
          </reference>
          <reference field="1" count="0"/>
        </references>
      </pivotArea>
    </format>
    <format dxfId="44">
      <pivotArea dataOnly="0" labelOnly="1" outline="0" fieldPosition="0">
        <references count="2">
          <reference field="0" count="1" selected="0">
            <x v="1"/>
          </reference>
          <reference field="1" count="0"/>
        </references>
      </pivotArea>
    </format>
    <format dxfId="43">
      <pivotArea dataOnly="0" labelOnly="1" outline="0" fieldPosition="0">
        <references count="2">
          <reference field="0" count="1" selected="0">
            <x v="2"/>
          </reference>
          <reference field="1" count="0"/>
        </references>
      </pivotArea>
    </format>
    <format dxfId="42">
      <pivotArea dataOnly="0" labelOnly="1" outline="0" fieldPosition="0">
        <references count="2">
          <reference field="0" count="1" selected="0">
            <x v="3"/>
          </reference>
          <reference field="1" count="0"/>
        </references>
      </pivotArea>
    </format>
    <format dxfId="41">
      <pivotArea dataOnly="0" labelOnly="1" outline="0" fieldPosition="0">
        <references count="2">
          <reference field="0" count="1" selected="0">
            <x v="4"/>
          </reference>
          <reference field="1" count="0"/>
        </references>
      </pivotArea>
    </format>
    <format dxfId="40">
      <pivotArea dataOnly="0" labelOnly="1" outline="0" fieldPosition="0">
        <references count="2">
          <reference field="0" count="1" selected="0">
            <x v="5"/>
          </reference>
          <reference field="1" count="0"/>
        </references>
      </pivotArea>
    </format>
    <format dxfId="39">
      <pivotArea dataOnly="0" labelOnly="1" outline="0" fieldPosition="0">
        <references count="1">
          <reference field="4294967294" count="3">
            <x v="0"/>
            <x v="1"/>
            <x v="2"/>
          </reference>
        </references>
      </pivotArea>
    </format>
    <format dxfId="38">
      <pivotArea dataOnly="0" labelOnly="1" outline="0" fieldPosition="0">
        <references count="1">
          <reference field="0" count="1">
            <x v="0"/>
          </reference>
        </references>
      </pivotArea>
    </format>
    <format dxfId="37">
      <pivotArea dataOnly="0" labelOnly="1" outline="0" fieldPosition="0">
        <references count="1">
          <reference field="0" count="1">
            <x v="1"/>
          </reference>
        </references>
      </pivotArea>
    </format>
    <format dxfId="36">
      <pivotArea dataOnly="0" labelOnly="1" outline="0" fieldPosition="0">
        <references count="1">
          <reference field="0" count="1">
            <x v="2"/>
          </reference>
        </references>
      </pivotArea>
    </format>
    <format dxfId="35">
      <pivotArea dataOnly="0" labelOnly="1" outline="0" fieldPosition="0">
        <references count="1">
          <reference field="0" count="3">
            <x v="3"/>
            <x v="4"/>
            <x v="5"/>
          </reference>
        </references>
      </pivotArea>
    </format>
    <format dxfId="34">
      <pivotArea dataOnly="0" labelOnly="1" outline="0" fieldPosition="0">
        <references count="1">
          <reference field="0" count="1">
            <x v="3"/>
          </reference>
        </references>
      </pivotArea>
    </format>
    <format dxfId="33">
      <pivotArea dataOnly="0" labelOnly="1" outline="0" fieldPosition="0">
        <references count="1">
          <reference field="0" count="1">
            <x v="4"/>
          </reference>
        </references>
      </pivotArea>
    </format>
  </formats>
  <conditionalFormats count="1">
    <conditionalFormat scope="data" priority="3">
      <pivotAreas count="1">
        <pivotArea outline="0" fieldPosition="0">
          <references count="1">
            <reference field="4294967294" count="1" selected="0">
              <x v="2"/>
            </reference>
          </references>
        </pivotArea>
      </pivotAreas>
    </conditionalFormat>
  </conditional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719999-0B4B-445D-A3F5-68719ABBF5ED}" name="PivotTable1" cacheId="1" applyNumberFormats="0" applyBorderFormats="0" applyFontFormats="0" applyPatternFormats="0" applyAlignmentFormats="0" applyWidthHeightFormats="1" dataCaption="Values" tag="2e0cb95b-30da-44d5-8cf2-b1c3752496d3" updatedVersion="8" minRefreshableVersion="3" useAutoFormatting="1" rowGrandTotals="0" itemPrintTitles="1" createdVersion="8" indent="0" outline="1" outlineData="1" multipleFieldFilters="0" rowHeaderCaption="Risk Level" colHeaderCaption="Card Type">
  <location ref="A8:F12"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3">
    <i>
      <x/>
    </i>
    <i>
      <x v="1"/>
    </i>
    <i>
      <x v="2"/>
    </i>
  </rowItems>
  <colFields count="1">
    <field x="0"/>
  </colFields>
  <colItems count="5">
    <i>
      <x/>
    </i>
    <i>
      <x v="1"/>
    </i>
    <i>
      <x v="2"/>
    </i>
    <i>
      <x v="3"/>
    </i>
    <i t="grand">
      <x/>
    </i>
  </colItems>
  <dataFields count="1">
    <dataField fld="2" subtotal="count" baseField="0" baseItem="0"/>
  </dataFields>
  <formats count="9">
    <format dxfId="56">
      <pivotArea type="all" dataOnly="0" outline="0" fieldPosition="0"/>
    </format>
    <format dxfId="55">
      <pivotArea outline="0" collapsedLevelsAreSubtotals="1" fieldPosition="0"/>
    </format>
    <format dxfId="54">
      <pivotArea type="origin" dataOnly="0" labelOnly="1" outline="0" fieldPosition="0"/>
    </format>
    <format dxfId="53">
      <pivotArea field="0" type="button" dataOnly="0" labelOnly="1" outline="0" axis="axisCol" fieldPosition="0"/>
    </format>
    <format dxfId="52">
      <pivotArea type="topRight" dataOnly="0" labelOnly="1" outline="0" fieldPosition="0"/>
    </format>
    <format dxfId="51">
      <pivotArea field="1" type="button" dataOnly="0" labelOnly="1" outline="0" axis="axisRow" fieldPosition="0"/>
    </format>
    <format dxfId="50">
      <pivotArea dataOnly="0" labelOnly="1" fieldPosition="0">
        <references count="1">
          <reference field="1" count="0"/>
        </references>
      </pivotArea>
    </format>
    <format dxfId="49">
      <pivotArea dataOnly="0" labelOnly="1" fieldPosition="0">
        <references count="1">
          <reference field="0" count="0"/>
        </references>
      </pivotArea>
    </format>
    <format dxfId="48">
      <pivotArea dataOnly="0" labelOnly="1" grandCol="1" outline="0" fieldPosition="0"/>
    </format>
  </format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isk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75E6E9-AE81-4AC4-8AAE-18211227705E}" name="PivotTable6" cacheId="8" applyNumberFormats="0" applyBorderFormats="0" applyFontFormats="0" applyPatternFormats="0" applyAlignmentFormats="0" applyWidthHeightFormats="1" dataCaption="Values" tag="e36cdf92-1592-49e7-98a9-f97331c373a6" updatedVersion="8" minRefreshableVersion="3" useAutoFormatting="1" itemPrintTitles="1" createdVersion="8" indent="0" compact="0" compactData="0" multipleFieldFilters="0">
  <location ref="A21:E40" firstHeaderRow="0" firstDataRow="1" firstDataCol="2"/>
  <pivotFields count="5">
    <pivotField axis="axisRow" compact="0" allDrilled="1" outline="0" subtotalTop="0" showAll="0" dataSourceSort="1" defaultSubtotal="0" defaultAttributeDrillState="1">
      <items count="6">
        <item x="0"/>
        <item x="1"/>
        <item x="2"/>
        <item x="3"/>
        <item x="4"/>
        <item x="5"/>
      </items>
    </pivotField>
    <pivotField name="Transaction Risk Level" axis="axisRow" compact="0" allDrilled="1" outline="0" subtotalTop="0" showAll="0" sortType="descending" defaultSubtotal="0" defaultAttributeDrillState="1">
      <items count="3">
        <item x="0"/>
        <item x="1"/>
        <item x="2"/>
      </items>
      <autoSortScope>
        <pivotArea dataOnly="0" outline="0" fieldPosition="0">
          <references count="1">
            <reference field="4294967294" count="1" selected="0">
              <x v="2"/>
            </reference>
          </references>
        </pivotArea>
      </autoSortScope>
    </pivotField>
    <pivotField dataField="1" compact="0" outline="0" subtotalTop="0" showAll="0" defaultSubtotal="0"/>
    <pivotField dataField="1" compact="0" outline="0" subtotalTop="0" showAll="0" defaultSubtotal="0"/>
    <pivotField dataField="1" compact="0" outline="0" subtotalTop="0" showAll="0" defaultSubtotal="0"/>
  </pivotFields>
  <rowFields count="2">
    <field x="0"/>
    <field x="1"/>
  </rowFields>
  <rowItems count="19">
    <i>
      <x/>
      <x/>
    </i>
    <i r="1">
      <x v="2"/>
    </i>
    <i r="1">
      <x v="1"/>
    </i>
    <i>
      <x v="1"/>
      <x/>
    </i>
    <i r="1">
      <x v="2"/>
    </i>
    <i r="1">
      <x v="1"/>
    </i>
    <i>
      <x v="2"/>
      <x v="1"/>
    </i>
    <i r="1">
      <x/>
    </i>
    <i r="1">
      <x v="2"/>
    </i>
    <i>
      <x v="3"/>
      <x/>
    </i>
    <i r="1">
      <x v="1"/>
    </i>
    <i r="1">
      <x v="2"/>
    </i>
    <i>
      <x v="4"/>
      <x v="2"/>
    </i>
    <i r="1">
      <x/>
    </i>
    <i r="1">
      <x v="1"/>
    </i>
    <i>
      <x v="5"/>
      <x/>
    </i>
    <i r="1">
      <x v="1"/>
    </i>
    <i r="1">
      <x v="2"/>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formats count="15">
    <format dxfId="71">
      <pivotArea outline="0" fieldPosition="0">
        <references count="2">
          <reference field="0" count="0" selected="0"/>
          <reference field="1" count="0" selected="0"/>
        </references>
      </pivotArea>
    </format>
    <format dxfId="70">
      <pivotArea field="1" type="button" dataOnly="0" labelOnly="1" outline="0" axis="axisRow" fieldPosition="1"/>
    </format>
    <format dxfId="69">
      <pivotArea dataOnly="0" labelOnly="1" outline="0" fieldPosition="0">
        <references count="2">
          <reference field="0" count="1" selected="0">
            <x v="0"/>
          </reference>
          <reference field="1" count="0"/>
        </references>
      </pivotArea>
    </format>
    <format dxfId="68">
      <pivotArea dataOnly="0" labelOnly="1" outline="0" fieldPosition="0">
        <references count="2">
          <reference field="0" count="1" selected="0">
            <x v="1"/>
          </reference>
          <reference field="1" count="0"/>
        </references>
      </pivotArea>
    </format>
    <format dxfId="67">
      <pivotArea dataOnly="0" labelOnly="1" outline="0" fieldPosition="0">
        <references count="2">
          <reference field="0" count="1" selected="0">
            <x v="2"/>
          </reference>
          <reference field="1" count="0"/>
        </references>
      </pivotArea>
    </format>
    <format dxfId="66">
      <pivotArea dataOnly="0" labelOnly="1" outline="0" fieldPosition="0">
        <references count="2">
          <reference field="0" count="1" selected="0">
            <x v="3"/>
          </reference>
          <reference field="1" count="0"/>
        </references>
      </pivotArea>
    </format>
    <format dxfId="65">
      <pivotArea dataOnly="0" labelOnly="1" outline="0" fieldPosition="0">
        <references count="2">
          <reference field="0" count="1" selected="0">
            <x v="4"/>
          </reference>
          <reference field="1" count="0"/>
        </references>
      </pivotArea>
    </format>
    <format dxfId="64">
      <pivotArea dataOnly="0" labelOnly="1" outline="0" fieldPosition="0">
        <references count="2">
          <reference field="0" count="1" selected="0">
            <x v="5"/>
          </reference>
          <reference field="1" count="0"/>
        </references>
      </pivotArea>
    </format>
    <format dxfId="63">
      <pivotArea dataOnly="0" labelOnly="1" outline="0" fieldPosition="0">
        <references count="1">
          <reference field="4294967294" count="3">
            <x v="0"/>
            <x v="1"/>
            <x v="2"/>
          </reference>
        </references>
      </pivotArea>
    </format>
    <format dxfId="62">
      <pivotArea dataOnly="0" labelOnly="1" outline="0" fieldPosition="0">
        <references count="1">
          <reference field="0" count="1">
            <x v="0"/>
          </reference>
        </references>
      </pivotArea>
    </format>
    <format dxfId="61">
      <pivotArea dataOnly="0" labelOnly="1" outline="0" fieldPosition="0">
        <references count="1">
          <reference field="0" count="1">
            <x v="1"/>
          </reference>
        </references>
      </pivotArea>
    </format>
    <format dxfId="60">
      <pivotArea dataOnly="0" labelOnly="1" outline="0" fieldPosition="0">
        <references count="1">
          <reference field="0" count="1">
            <x v="2"/>
          </reference>
        </references>
      </pivotArea>
    </format>
    <format dxfId="59">
      <pivotArea dataOnly="0" labelOnly="1" outline="0" fieldPosition="0">
        <references count="1">
          <reference field="0" count="1">
            <x v="3"/>
          </reference>
        </references>
      </pivotArea>
    </format>
    <format dxfId="58">
      <pivotArea dataOnly="0" labelOnly="1" outline="0" fieldPosition="0">
        <references count="1">
          <reference field="0" count="1">
            <x v="4"/>
          </reference>
        </references>
      </pivotArea>
    </format>
    <format dxfId="57">
      <pivotArea dataOnly="0" labelOnly="1" outline="0" fieldPosition="0">
        <references count="1">
          <reference field="0" count="1">
            <x v="5"/>
          </reference>
        </references>
      </pivotArea>
    </format>
  </format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iskDim]"/>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2F6AE8A-849A-4FFC-9292-D262D21936C5}" autoFormatId="16" applyNumberFormats="0" applyBorderFormats="0" applyFontFormats="0" applyPatternFormats="0" applyAlignmentFormats="0" applyWidthHeightFormats="0">
  <queryTableRefresh nextId="13">
    <queryTableFields count="10">
      <queryTableField id="1" name="Customer ID" tableColumnId="1"/>
      <queryTableField id="2" name="Card ID" tableColumnId="2"/>
      <queryTableField id="3" name="Card Type" tableColumnId="3"/>
      <queryTableField id="4" name="Amount Spent (USD)" tableColumnId="4"/>
      <queryTableField id="5" name="Transaction Count" tableColumnId="5"/>
      <queryTableField id="6" name="Country" tableColumnId="6"/>
      <queryTableField id="7" name="Merchant Type" tableColumnId="7"/>
      <queryTableField id="8" name="Risk Level" tableColumnId="8"/>
      <queryTableField id="9" name="Fraud Flag" tableColumnId="9"/>
      <queryTableField id="10" name="Fraud Label" tableColumnId="10"/>
    </queryTableFields>
  </queryTableRefresh>
  <extLst>
    <ext xmlns:x15="http://schemas.microsoft.com/office/spreadsheetml/2010/11/main" uri="{883FBD77-0823-4a55-B5E3-86C4891E6966}">
      <x15:queryTable sourceDataName="Query - Transaction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chant_Type" xr10:uid="{F27B4758-DFF0-457C-B38B-2FE0182D99D8}" sourceName="[Transactions].[Merchant Type]">
  <pivotTables>
    <pivotTable tabId="1" name="Fraud Rate by Card Type (vs Portfolio)"/>
    <pivotTable tabId="1" name="Merchant Fraud"/>
    <pivotTable tabId="1" name="Country Fraud"/>
    <pivotTable tabId="1" name="Risk-level/Card Type"/>
    <pivotTable tabId="1" name="KPIs"/>
  </pivotTables>
  <data>
    <olap pivotCacheId="1877283751">
      <levels count="2">
        <level uniqueName="[Transactions].[Merchant Type].[(All)]" sourceCaption="(All)" count="0"/>
        <level uniqueName="[Transactions].[Merchant Type].[Merchant Type]" sourceCaption="Merchant Type" count="6">
          <ranges>
            <range startItem="0">
              <i n="[Transactions].[Merchant Type].&amp;[Dining]" c="Dining"/>
              <i n="[Transactions].[Merchant Type].&amp;[Electronics]" c="Electronics"/>
              <i n="[Transactions].[Merchant Type].&amp;[Grocery]" c="Grocery"/>
              <i n="[Transactions].[Merchant Type].&amp;[Online]" c="Online"/>
              <i n="[Transactions].[Merchant Type].&amp;[Retail]" c="Retail"/>
              <i n="[Transactions].[Merchant Type].&amp;[Travel]" c="Travel"/>
            </range>
          </ranges>
        </level>
      </levels>
      <selections count="1">
        <selection n="[Transactions].[Merchant Type].[All]"/>
      </selections>
    </olap>
  </data>
  <extLst>
    <x:ext xmlns:x15="http://schemas.microsoft.com/office/spreadsheetml/2010/11/main" uri="{470722E0-AACD-4C17-9CDC-17EF765DBC7E}">
      <x15:slicerCacheHideItemsWithNoData count="1">
        <x15:slicerCacheOlapLevelName uniqueName="[Transactions].[Merchant Type].[Merchant Typ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AF9395F-1017-4A22-B8C7-5F3816357413}" sourceName="[Transactions].[Country]">
  <pivotTables>
    <pivotTable tabId="1" name="Fraud Rate by Card Type (vs Portfolio)"/>
    <pivotTable tabId="1" name="Merchant Fraud"/>
    <pivotTable tabId="1" name="Country Fraud"/>
    <pivotTable tabId="1" name="Risk-level/Card Type"/>
    <pivotTable tabId="1" name="KPIs"/>
  </pivotTables>
  <data>
    <olap pivotCacheId="1877283751">
      <levels count="2">
        <level uniqueName="[Transactions].[Country].[(All)]" sourceCaption="(All)" count="0"/>
        <level uniqueName="[Transactions].[Country].[Country]" sourceCaption="Country" count="6">
          <ranges>
            <range startItem="0">
              <i n="[Transactions].[Country].&amp;[Australia]" c="Australia"/>
              <i n="[Transactions].[Country].&amp;[Canada]" c="Canada"/>
              <i n="[Transactions].[Country].&amp;[Germany]" c="Germany"/>
              <i n="[Transactions].[Country].&amp;[India]" c="India"/>
              <i n="[Transactions].[Country].&amp;[UK]" c="UK"/>
              <i n="[Transactions].[Country].&amp;[USA]" c="USA"/>
            </range>
          </ranges>
        </level>
      </levels>
      <selections count="1">
        <selection n="[Transactions].[Country].[All]"/>
      </selections>
    </olap>
  </data>
  <extLst>
    <x:ext xmlns:x15="http://schemas.microsoft.com/office/spreadsheetml/2010/11/main" uri="{470722E0-AACD-4C17-9CDC-17EF765DBC7E}">
      <x15:slicerCacheHideItemsWithNoData count="1">
        <x15:slicerCacheOlapLevelName uniqueName="[Transactions].[Country].[Country]"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Type" xr10:uid="{8EC8E7AB-06E4-4A56-943C-40D280E2738D}" sourceName="[Transactions].[Card Type]">
  <pivotTables>
    <pivotTable tabId="1" name="Fraud Rate by Card Type (vs Portfolio)"/>
    <pivotTable tabId="1" name="Merchant Fraud"/>
    <pivotTable tabId="1" name="Country Fraud"/>
    <pivotTable tabId="1" name="KPIs"/>
  </pivotTables>
  <data>
    <olap pivotCacheId="1877283751">
      <levels count="2">
        <level uniqueName="[Transactions].[Card Type].[(All)]" sourceCaption="(All)" count="0"/>
        <level uniqueName="[Transactions].[Card Type].[Card Type]" sourceCaption="Card Type" count="4">
          <ranges>
            <range startItem="0">
              <i n="[Transactions].[Card Type].&amp;[Charge]" c="Charge"/>
              <i n="[Transactions].[Card Type].&amp;[Credit]" c="Credit"/>
              <i n="[Transactions].[Card Type].&amp;[Debit]" c="Debit"/>
              <i n="[Transactions].[Card Type].&amp;[Prepaid]" c="Prepaid"/>
            </range>
          </ranges>
        </level>
      </levels>
      <selections count="1">
        <selection n="[Transactions].[Card Type].[All]"/>
      </selections>
    </olap>
  </data>
  <extLst>
    <x:ext xmlns:x15="http://schemas.microsoft.com/office/spreadsheetml/2010/11/main" uri="{470722E0-AACD-4C17-9CDC-17EF765DBC7E}">
      <x15:slicerCacheHideItemsWithNoData count="1">
        <x15:slicerCacheOlapLevelName uniqueName="[Transactions].[Card Type].[Card Type]"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0B876532-0DB8-4B2A-A068-D02C7FB14F8C}" sourceName="[RiskDim].[Risk Level]">
  <pivotTables>
    <pivotTable tabId="1" name="Fraud Rate by Card Type (vs Portfolio)"/>
    <pivotTable tabId="1" name="Merchant Fraud"/>
    <pivotTable tabId="1" name="Country Fraud"/>
    <pivotTable tabId="1" name="KPIs"/>
  </pivotTables>
  <data>
    <olap pivotCacheId="1877283751">
      <levels count="2">
        <level uniqueName="[RiskDim].[Risk Level].[(All)]" sourceCaption="(All)" count="0"/>
        <level uniqueName="[RiskDim].[Risk Level].[Risk Level]" sourceCaption="Risk Level" count="3">
          <ranges>
            <range startItem="0">
              <i n="[RiskDim].[Risk Level].&amp;[High]" c="High"/>
              <i n="[RiskDim].[Risk Level].&amp;[Medium]" c="Medium"/>
              <i n="[RiskDim].[Risk Level].&amp;[Low]" c="Low"/>
            </range>
          </ranges>
        </level>
      </levels>
      <selections count="1">
        <selection n="[RiskDim].[Risk Level].[All]"/>
      </selections>
    </olap>
  </data>
  <extLst>
    <x:ext xmlns:x15="http://schemas.microsoft.com/office/spreadsheetml/2010/11/main" uri="{470722E0-AACD-4C17-9CDC-17EF765DBC7E}">
      <x15:slicerCacheHideItemsWithNoData count="1">
        <x15:slicerCacheOlapLevelName uniqueName="[RiskDim].[Risk Level].[Risk Level]"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rchant Type" xr10:uid="{B4BE9B39-CD4A-4952-8720-F12AB3DD7204}" cache="Slicer_Merchant_Type" caption="Merchant Type" level="1" rowHeight="234950"/>
  <slicer name="Country" xr10:uid="{7E24ED25-3BE6-45D8-8E51-2EC9CAA77403}" cache="Slicer_Country" caption="Country" level="1" rowHeight="234950"/>
  <slicer name="Card Type" xr10:uid="{94DD8F02-F246-4C13-8561-AA8C58FB5D7D}" cache="Slicer_Card_Type" caption="Card Type" level="1" rowHeight="234950"/>
  <slicer name="Risk Level" xr10:uid="{6738AB06-4508-4F05-AE8D-906610E1A763}" cache="Slicer_Risk_Level" caption="Risk Level"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rchant Type 1" xr10:uid="{28B2B351-8752-4431-9888-F8359B3B5F81}" cache="Slicer_Merchant_Type" caption="Merchant Type" level="1" style="SlicerStyleOther2" rowHeight="234950"/>
  <slicer name="Country 1" xr10:uid="{782D4967-EAA5-4D0C-A2E3-80A6AD03CEF9}" cache="Slicer_Country" caption="Country" level="1" rowHeight="234950"/>
  <slicer name="Card Type 1" xr10:uid="{EE3496AD-18A8-40B1-A18A-AABD4F1BF6C2}" cache="Slicer_Card_Type" caption="Card Type" level="1" rowHeight="234950"/>
  <slicer name="Risk Level 1" xr10:uid="{225647AF-94E1-43D7-B828-4A0BF14DE550}" cache="Slicer_Risk_Level" caption="Risk Level"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19647E-10E4-4919-A4C9-63FDFBF4EDB0}" name="Transactions" displayName="Transactions" ref="A1:J602" tableType="queryTable" totalsRowCount="1">
  <autoFilter ref="A1:J601" xr:uid="{9019647E-10E4-4919-A4C9-63FDFBF4EDB0}"/>
  <tableColumns count="10">
    <tableColumn id="1" xr3:uid="{80F90B5F-8C6C-430C-BC2E-F5564502025D}" uniqueName="1" name="Customer ID" totalsRowLabel="Total" queryTableFieldId="1" dataDxfId="8"/>
    <tableColumn id="2" xr3:uid="{9419AC62-B7B9-4B3F-A048-3579C7672FA4}" uniqueName="2" name="Card ID" queryTableFieldId="2" dataDxfId="7"/>
    <tableColumn id="3" xr3:uid="{3688CC4F-FC8C-4777-8D7D-971BD6B91054}" uniqueName="3" name="Card Type" queryTableFieldId="3" dataDxfId="6"/>
    <tableColumn id="4" xr3:uid="{5BAEA8A5-391F-456F-8AAC-9B9BD8E001B5}" uniqueName="4" name="Amount Spent (USD)" queryTableFieldId="4"/>
    <tableColumn id="5" xr3:uid="{0029C30F-00FB-425E-8574-649C55308DD1}" uniqueName="5" name="Transaction Count" queryTableFieldId="5"/>
    <tableColumn id="6" xr3:uid="{BDFA8149-7519-4CFD-97F8-EFB662D82BFB}" uniqueName="6" name="Country" queryTableFieldId="6" dataDxfId="5"/>
    <tableColumn id="7" xr3:uid="{DCC721B7-9336-4AD4-B753-279CB2B9DA7C}" uniqueName="7" name="Merchant Type" queryTableFieldId="7" dataDxfId="4"/>
    <tableColumn id="8" xr3:uid="{E583CA57-6298-45A1-AB3F-4C650E816848}" uniqueName="8" name="Risk Level" queryTableFieldId="8" dataDxfId="3"/>
    <tableColumn id="9" xr3:uid="{A3DB28DE-DC4C-4BBB-A0AF-0250B2551AAC}" uniqueName="9" name="Fraud Flag" queryTableFieldId="9"/>
    <tableColumn id="10" xr3:uid="{BCFC47AA-17EE-4608-B90F-661F9AB59326}" uniqueName="10" name="Fraud Label" totalsRowFunction="count" queryTableFieldId="10"/>
  </tableColumns>
  <tableStyleInfo name="TableStyleLight14"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6B0D96-E1B3-42FE-9633-70E4F8A9B2FD}" name="RiskDim" displayName="RiskDim" ref="A1:B4" totalsRowShown="0" headerRowDxfId="2">
  <autoFilter ref="A1:B4" xr:uid="{B76B0D96-E1B3-42FE-9633-70E4F8A9B2FD}"/>
  <tableColumns count="2">
    <tableColumn id="1" xr3:uid="{B9995BF8-7D64-40F3-9774-424CA7423DD4}" name="Risk Level" dataDxfId="1"/>
    <tableColumn id="2" xr3:uid="{E6528E21-6BA0-46A7-B16A-451ED7230178}" name="Risk Sort"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4.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A8A1B-362B-4A7A-9926-0C76E925E1E9}">
  <dimension ref="A1:W35"/>
  <sheetViews>
    <sheetView workbookViewId="0">
      <selection activeCell="C25" sqref="C25"/>
    </sheetView>
  </sheetViews>
  <sheetFormatPr defaultRowHeight="14.4" x14ac:dyDescent="0.3"/>
  <cols>
    <col min="1" max="1" width="14.33203125" bestFit="1" customWidth="1"/>
    <col min="2" max="2" width="10" bestFit="1" customWidth="1"/>
    <col min="3" max="3" width="11.88671875" bestFit="1" customWidth="1"/>
    <col min="4" max="4" width="10.6640625" bestFit="1" customWidth="1"/>
    <col min="5" max="6" width="13.44140625" bestFit="1" customWidth="1"/>
    <col min="8" max="8" width="12.5546875" bestFit="1" customWidth="1"/>
    <col min="9" max="9" width="10" bestFit="1" customWidth="1"/>
    <col min="10" max="10" width="22.33203125" bestFit="1" customWidth="1"/>
    <col min="11" max="11" width="16.33203125" bestFit="1" customWidth="1"/>
    <col min="12" max="12" width="14.77734375" bestFit="1" customWidth="1"/>
    <col min="13" max="13" width="12.5546875" bestFit="1" customWidth="1"/>
    <col min="14" max="14" width="11.88671875" bestFit="1" customWidth="1"/>
    <col min="15" max="15" width="9.5546875" bestFit="1" customWidth="1"/>
    <col min="20" max="20" width="11.88671875" bestFit="1" customWidth="1"/>
    <col min="21" max="21" width="11.6640625" bestFit="1" customWidth="1"/>
    <col min="22" max="22" width="11.88671875" bestFit="1" customWidth="1"/>
    <col min="23" max="23" width="18" bestFit="1" customWidth="1"/>
    <col min="24" max="24" width="7.44140625" bestFit="1" customWidth="1"/>
    <col min="25" max="25" width="10.77734375" bestFit="1" customWidth="1"/>
  </cols>
  <sheetData>
    <row r="1" spans="1:22" x14ac:dyDescent="0.3">
      <c r="A1" s="1" t="s">
        <v>792</v>
      </c>
      <c r="B1" t="s">
        <v>794</v>
      </c>
      <c r="C1" t="s">
        <v>802</v>
      </c>
      <c r="H1" s="1" t="s">
        <v>792</v>
      </c>
      <c r="I1" t="s">
        <v>795</v>
      </c>
      <c r="J1" t="s">
        <v>796</v>
      </c>
      <c r="K1" t="s">
        <v>797</v>
      </c>
      <c r="M1" s="1" t="s">
        <v>792</v>
      </c>
      <c r="N1" t="s">
        <v>794</v>
      </c>
      <c r="T1" s="1" t="s">
        <v>7</v>
      </c>
      <c r="U1" s="1" t="s">
        <v>2</v>
      </c>
      <c r="V1" t="s">
        <v>794</v>
      </c>
    </row>
    <row r="2" spans="1:22" x14ac:dyDescent="0.3">
      <c r="A2" s="2" t="s">
        <v>35</v>
      </c>
      <c r="B2" s="3">
        <v>0.55145888594164461</v>
      </c>
      <c r="C2" s="4">
        <v>0.50302631578947365</v>
      </c>
      <c r="H2" s="2" t="s">
        <v>58</v>
      </c>
      <c r="I2" s="5">
        <v>1590</v>
      </c>
      <c r="J2" s="4">
        <v>0.20795187025895892</v>
      </c>
      <c r="K2">
        <v>0.8</v>
      </c>
      <c r="M2" s="2" t="s">
        <v>13</v>
      </c>
      <c r="N2" s="3">
        <v>0.47256317689530686</v>
      </c>
      <c r="T2" s="11" t="s">
        <v>15</v>
      </c>
      <c r="U2" t="s">
        <v>35</v>
      </c>
      <c r="V2" s="18">
        <v>0.59965635738831613</v>
      </c>
    </row>
    <row r="3" spans="1:22" x14ac:dyDescent="0.3">
      <c r="A3" s="2" t="s">
        <v>28</v>
      </c>
      <c r="B3" s="3">
        <v>0.52824551873981529</v>
      </c>
      <c r="C3" s="4">
        <v>0.50302631578947365</v>
      </c>
      <c r="H3" s="2" t="s">
        <v>14</v>
      </c>
      <c r="I3" s="5">
        <v>1402</v>
      </c>
      <c r="J3" s="4">
        <v>0.39131572063824221</v>
      </c>
      <c r="K3">
        <v>0.8</v>
      </c>
      <c r="M3" s="2" t="s">
        <v>45</v>
      </c>
      <c r="N3" s="3">
        <v>0.48292486942547208</v>
      </c>
      <c r="T3" s="11"/>
      <c r="U3" t="s">
        <v>23</v>
      </c>
      <c r="V3" s="18">
        <v>0.50897736143637784</v>
      </c>
    </row>
    <row r="4" spans="1:22" x14ac:dyDescent="0.3">
      <c r="A4" s="2" t="s">
        <v>12</v>
      </c>
      <c r="B4" s="3">
        <v>0.48351648351648352</v>
      </c>
      <c r="C4" s="4">
        <v>0.50302631578947365</v>
      </c>
      <c r="H4" s="2" t="s">
        <v>25</v>
      </c>
      <c r="I4" s="5">
        <v>1259</v>
      </c>
      <c r="J4" s="4">
        <v>0.55597698142819774</v>
      </c>
      <c r="K4">
        <v>0.8</v>
      </c>
      <c r="M4" s="2" t="s">
        <v>49</v>
      </c>
      <c r="N4" s="3">
        <v>0.48940196820590459</v>
      </c>
      <c r="T4" s="11"/>
      <c r="U4" t="s">
        <v>12</v>
      </c>
      <c r="V4" s="18">
        <v>0.50034317089910774</v>
      </c>
    </row>
    <row r="5" spans="1:22" ht="14.4" customHeight="1" x14ac:dyDescent="0.3">
      <c r="A5" s="2" t="s">
        <v>23</v>
      </c>
      <c r="B5" s="3">
        <v>0.4525765496639283</v>
      </c>
      <c r="C5" s="4">
        <v>0.50302631578947365</v>
      </c>
      <c r="H5" s="2" t="s">
        <v>46</v>
      </c>
      <c r="I5" s="5">
        <v>1220</v>
      </c>
      <c r="J5" s="4">
        <v>0.71553753596651848</v>
      </c>
      <c r="K5">
        <v>0.8</v>
      </c>
      <c r="M5" s="2" t="s">
        <v>19</v>
      </c>
      <c r="N5" s="3">
        <v>0.50567465321563687</v>
      </c>
      <c r="T5" s="11"/>
      <c r="U5" t="s">
        <v>28</v>
      </c>
      <c r="V5" s="18">
        <v>0.58439355385920266</v>
      </c>
    </row>
    <row r="6" spans="1:22" x14ac:dyDescent="0.3">
      <c r="A6" s="2" t="s">
        <v>793</v>
      </c>
      <c r="B6" s="3">
        <v>0.50302631578947365</v>
      </c>
      <c r="C6" s="4">
        <v>0.50302631578947365</v>
      </c>
      <c r="H6" s="2" t="s">
        <v>29</v>
      </c>
      <c r="I6" s="5">
        <v>1097</v>
      </c>
      <c r="J6" s="4">
        <v>0.8590112477112215</v>
      </c>
      <c r="K6">
        <v>0.8</v>
      </c>
      <c r="M6" s="2" t="s">
        <v>36</v>
      </c>
      <c r="N6" s="3">
        <v>0.52722287504896204</v>
      </c>
      <c r="T6" s="11" t="s">
        <v>615</v>
      </c>
      <c r="U6" t="s">
        <v>35</v>
      </c>
      <c r="V6" s="18">
        <v>0.50165837479270314</v>
      </c>
    </row>
    <row r="7" spans="1:22" x14ac:dyDescent="0.3">
      <c r="H7" s="2" t="s">
        <v>20</v>
      </c>
      <c r="I7" s="5">
        <v>1078</v>
      </c>
      <c r="J7" s="4">
        <v>1</v>
      </c>
      <c r="K7">
        <v>0.8</v>
      </c>
      <c r="M7" s="2" t="s">
        <v>24</v>
      </c>
      <c r="N7" s="3">
        <v>0.5462610899873257</v>
      </c>
      <c r="T7" s="11"/>
      <c r="U7" t="s">
        <v>23</v>
      </c>
      <c r="V7" s="18">
        <v>0.45236631837738167</v>
      </c>
    </row>
    <row r="8" spans="1:22" x14ac:dyDescent="0.3">
      <c r="H8" s="2" t="s">
        <v>793</v>
      </c>
      <c r="I8" s="5">
        <v>7646</v>
      </c>
      <c r="J8" s="4">
        <v>0.20795187025895892</v>
      </c>
      <c r="K8">
        <v>0.8</v>
      </c>
      <c r="M8" s="2" t="s">
        <v>793</v>
      </c>
      <c r="N8" s="3">
        <v>0.50302631578947365</v>
      </c>
      <c r="T8" s="11"/>
      <c r="U8" t="s">
        <v>12</v>
      </c>
      <c r="V8" s="18">
        <v>0.53790983606557374</v>
      </c>
    </row>
    <row r="9" spans="1:22" x14ac:dyDescent="0.3">
      <c r="T9" s="11"/>
      <c r="U9" t="s">
        <v>28</v>
      </c>
      <c r="V9" s="18">
        <v>0.50823723228995055</v>
      </c>
    </row>
    <row r="10" spans="1:22" x14ac:dyDescent="0.3">
      <c r="T10" s="11" t="s">
        <v>369</v>
      </c>
      <c r="U10" t="s">
        <v>35</v>
      </c>
      <c r="V10" s="18">
        <v>0.55428571428571427</v>
      </c>
    </row>
    <row r="11" spans="1:22" x14ac:dyDescent="0.3">
      <c r="T11" s="11"/>
      <c r="U11" t="s">
        <v>23</v>
      </c>
      <c r="V11" s="18">
        <v>0.38773669972948605</v>
      </c>
    </row>
    <row r="12" spans="1:22" x14ac:dyDescent="0.3">
      <c r="T12" s="11"/>
      <c r="U12" t="s">
        <v>12</v>
      </c>
      <c r="V12" s="18">
        <v>0.42372881355932202</v>
      </c>
    </row>
    <row r="13" spans="1:22" x14ac:dyDescent="0.3">
      <c r="T13" s="11"/>
      <c r="U13" t="s">
        <v>28</v>
      </c>
      <c r="V13" s="18">
        <v>0.49573312645461598</v>
      </c>
    </row>
    <row r="18" spans="1:23" x14ac:dyDescent="0.3">
      <c r="W18" s="10"/>
    </row>
    <row r="27" spans="1:23" x14ac:dyDescent="0.3">
      <c r="A27" t="s">
        <v>799</v>
      </c>
    </row>
    <row r="28" spans="1:23" x14ac:dyDescent="0.3">
      <c r="A28" t="s">
        <v>804</v>
      </c>
      <c r="B28" t="s">
        <v>795</v>
      </c>
      <c r="C28" t="s">
        <v>794</v>
      </c>
      <c r="D28" t="s">
        <v>800</v>
      </c>
      <c r="E28" t="s">
        <v>801</v>
      </c>
    </row>
    <row r="29" spans="1:23" x14ac:dyDescent="0.3">
      <c r="A29" s="5">
        <v>15200</v>
      </c>
      <c r="B29" s="5">
        <v>7646</v>
      </c>
      <c r="C29" s="3">
        <v>0.50302631578947365</v>
      </c>
      <c r="D29" s="4">
        <v>0.3342763157894737</v>
      </c>
      <c r="E29" s="4">
        <v>0</v>
      </c>
    </row>
    <row r="31" spans="1:23" x14ac:dyDescent="0.3">
      <c r="A31" t="s">
        <v>811</v>
      </c>
      <c r="B31">
        <f>GETPIVOTDATA("[Measures].[Total Txn Count]",$A$28)</f>
        <v>15200</v>
      </c>
    </row>
    <row r="32" spans="1:23" x14ac:dyDescent="0.3">
      <c r="A32" t="s">
        <v>812</v>
      </c>
      <c r="B32">
        <f>GETPIVOTDATA("[Measures].[Fraud Txns]",$A$28)</f>
        <v>7646</v>
      </c>
    </row>
    <row r="33" spans="1:2" x14ac:dyDescent="0.3">
      <c r="A33" t="s">
        <v>813</v>
      </c>
      <c r="B33" s="9">
        <f>GETPIVOTDATA("[Measures].[Fraud Rate %]",$A$28)</f>
        <v>0.50302631578947365</v>
      </c>
    </row>
    <row r="34" spans="1:2" x14ac:dyDescent="0.3">
      <c r="A34" t="s">
        <v>814</v>
      </c>
      <c r="B34" s="9">
        <f>GETPIVOTDATA("[Measures].[High-Risk %]",$A$28)</f>
        <v>0.3342763157894737</v>
      </c>
    </row>
    <row r="35" spans="1:2" x14ac:dyDescent="0.3">
      <c r="A35" t="s">
        <v>815</v>
      </c>
      <c r="B35" s="9">
        <f>GETPIVOTDATA("[Measures].[Relative Risk %]",$A$28)</f>
        <v>0</v>
      </c>
    </row>
  </sheetData>
  <conditionalFormatting sqref="V1">
    <cfRule type="colorScale" priority="1">
      <colorScale>
        <cfvo type="min"/>
        <cfvo type="percentile" val="50"/>
        <cfvo type="max"/>
        <color rgb="FF63BE7B"/>
        <color rgb="FFFCFCFF"/>
        <color rgb="FFF8696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B3D5B-8390-41F2-A589-FA319462796E}">
  <sheetPr>
    <tabColor rgb="FF92D050"/>
  </sheetPr>
  <dimension ref="A1"/>
  <sheetViews>
    <sheetView showGridLines="0" showRowColHeaders="0" tabSelected="1"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8C122-CB76-4F9A-B718-BC55B2218C71}">
  <sheetPr>
    <tabColor rgb="FF0070C0"/>
  </sheetPr>
  <dimension ref="C5:H23"/>
  <sheetViews>
    <sheetView showGridLines="0" showRowColHeaders="0" zoomScale="90" zoomScaleNormal="90" workbookViewId="0"/>
  </sheetViews>
  <sheetFormatPr defaultRowHeight="14.4" x14ac:dyDescent="0.3"/>
  <sheetData>
    <row r="5" spans="3:8" x14ac:dyDescent="0.3">
      <c r="E5" s="31"/>
      <c r="F5" s="31"/>
      <c r="G5" s="31"/>
      <c r="H5" s="31"/>
    </row>
    <row r="6" spans="3:8" x14ac:dyDescent="0.3">
      <c r="E6" s="12"/>
      <c r="F6" s="12"/>
      <c r="G6" s="12"/>
      <c r="H6" s="12"/>
    </row>
    <row r="7" spans="3:8" x14ac:dyDescent="0.3">
      <c r="C7" s="30"/>
      <c r="D7" s="13"/>
      <c r="E7" s="14"/>
      <c r="F7" s="14"/>
      <c r="G7" s="14"/>
      <c r="H7" s="14"/>
    </row>
    <row r="8" spans="3:8" ht="17.399999999999999" customHeight="1" x14ac:dyDescent="0.3">
      <c r="C8" s="30"/>
      <c r="D8" s="13"/>
      <c r="E8" s="14"/>
      <c r="F8" s="14"/>
      <c r="G8" s="14"/>
      <c r="H8" s="14"/>
    </row>
    <row r="9" spans="3:8" ht="17.399999999999999" customHeight="1" x14ac:dyDescent="0.3">
      <c r="C9" s="30"/>
      <c r="D9" s="13"/>
      <c r="E9" s="14"/>
      <c r="F9" s="14"/>
      <c r="G9" s="14"/>
      <c r="H9" s="14"/>
    </row>
    <row r="23" ht="26.4" customHeight="1" x14ac:dyDescent="0.3"/>
  </sheetData>
  <mergeCells count="2">
    <mergeCell ref="C7:C9"/>
    <mergeCell ref="E5:H5"/>
  </mergeCells>
  <conditionalFormatting sqref="E7:H9">
    <cfRule type="colorScale" priority="2">
      <colorScale>
        <cfvo type="min"/>
        <cfvo type="percentile" val="50.5"/>
        <cfvo type="max"/>
        <color rgb="FF63BE7B"/>
        <color rgb="FFFCFCFF"/>
        <color rgb="FFF8696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3AF0B-AA37-49BD-B744-F2831AB14255}">
  <sheetPr>
    <tabColor rgb="FF00B050"/>
  </sheetPr>
  <dimension ref="A5:T40"/>
  <sheetViews>
    <sheetView showGridLines="0" showRowColHeaders="0" zoomScale="95" zoomScaleNormal="95" workbookViewId="0"/>
  </sheetViews>
  <sheetFormatPr defaultRowHeight="14.4" x14ac:dyDescent="0.3"/>
  <cols>
    <col min="1" max="1" width="11.88671875" bestFit="1" customWidth="1"/>
    <col min="2" max="2" width="21.77734375" bestFit="1" customWidth="1"/>
    <col min="3" max="3" width="14.33203125" bestFit="1" customWidth="1"/>
    <col min="4" max="4" width="10" bestFit="1" customWidth="1"/>
    <col min="5" max="5" width="11.88671875" bestFit="1" customWidth="1"/>
    <col min="6" max="6" width="10.77734375" bestFit="1" customWidth="1"/>
    <col min="9" max="9" width="12.5546875" bestFit="1" customWidth="1"/>
    <col min="10" max="10" width="11.6640625" bestFit="1" customWidth="1"/>
    <col min="11" max="11" width="14.33203125" bestFit="1" customWidth="1"/>
    <col min="12" max="12" width="10" bestFit="1" customWidth="1"/>
    <col min="13" max="13" width="11.88671875" bestFit="1" customWidth="1"/>
    <col min="16" max="16" width="16.109375" bestFit="1" customWidth="1"/>
    <col min="17" max="17" width="11.6640625" bestFit="1" customWidth="1"/>
    <col min="18" max="18" width="14.33203125" bestFit="1" customWidth="1"/>
    <col min="19" max="19" width="10" bestFit="1" customWidth="1"/>
    <col min="20" max="20" width="11.88671875" bestFit="1" customWidth="1"/>
    <col min="23" max="23" width="14" bestFit="1" customWidth="1"/>
    <col min="24" max="24" width="14.33203125" bestFit="1" customWidth="1"/>
    <col min="25" max="25" width="10" bestFit="1" customWidth="1"/>
    <col min="26" max="26" width="11.88671875" bestFit="1" customWidth="1"/>
  </cols>
  <sheetData>
    <row r="5" spans="1:20" x14ac:dyDescent="0.3">
      <c r="A5" s="32" t="s">
        <v>803</v>
      </c>
      <c r="B5" s="32"/>
      <c r="C5" s="32"/>
      <c r="D5" s="32"/>
      <c r="E5" s="32"/>
      <c r="F5" s="32"/>
      <c r="I5" s="32" t="s">
        <v>807</v>
      </c>
      <c r="J5" s="32"/>
      <c r="K5" s="32"/>
      <c r="L5" s="32"/>
      <c r="M5" s="32"/>
      <c r="P5" s="32" t="s">
        <v>806</v>
      </c>
      <c r="Q5" s="32"/>
      <c r="R5" s="32"/>
      <c r="S5" s="32"/>
      <c r="T5" s="32"/>
    </row>
    <row r="6" spans="1:20" x14ac:dyDescent="0.3">
      <c r="A6" s="17" t="s">
        <v>810</v>
      </c>
      <c r="B6" s="17"/>
      <c r="C6" s="17"/>
      <c r="D6" s="17"/>
      <c r="E6" s="17"/>
      <c r="F6" s="17"/>
    </row>
    <row r="7" spans="1:20" x14ac:dyDescent="0.3">
      <c r="A7" s="16"/>
      <c r="B7" s="16"/>
      <c r="C7" s="16"/>
      <c r="D7" s="16"/>
      <c r="E7" s="16"/>
      <c r="F7" s="16"/>
    </row>
    <row r="8" spans="1:20" x14ac:dyDescent="0.3">
      <c r="A8" s="19" t="s">
        <v>794</v>
      </c>
      <c r="B8" s="19" t="s">
        <v>2</v>
      </c>
      <c r="C8" s="20"/>
      <c r="D8" s="20"/>
      <c r="E8" s="20"/>
      <c r="F8" s="20"/>
      <c r="I8" s="1" t="s">
        <v>5</v>
      </c>
      <c r="J8" s="19" t="s">
        <v>2</v>
      </c>
      <c r="K8" s="20" t="s">
        <v>804</v>
      </c>
      <c r="L8" s="20" t="s">
        <v>795</v>
      </c>
      <c r="M8" s="20" t="s">
        <v>794</v>
      </c>
      <c r="P8" s="1" t="s">
        <v>6</v>
      </c>
      <c r="Q8" s="19" t="s">
        <v>2</v>
      </c>
      <c r="R8" s="20" t="s">
        <v>804</v>
      </c>
      <c r="S8" s="20" t="s">
        <v>795</v>
      </c>
      <c r="T8" s="20" t="s">
        <v>794</v>
      </c>
    </row>
    <row r="9" spans="1:20" x14ac:dyDescent="0.3">
      <c r="A9" s="19" t="s">
        <v>7</v>
      </c>
      <c r="B9" s="20" t="s">
        <v>35</v>
      </c>
      <c r="C9" s="20" t="s">
        <v>23</v>
      </c>
      <c r="D9" s="20" t="s">
        <v>12</v>
      </c>
      <c r="E9" s="20" t="s">
        <v>28</v>
      </c>
      <c r="F9" s="20" t="s">
        <v>793</v>
      </c>
      <c r="I9" s="25" t="s">
        <v>24</v>
      </c>
      <c r="J9" s="20" t="s">
        <v>28</v>
      </c>
      <c r="K9" s="23">
        <v>710</v>
      </c>
      <c r="L9" s="23">
        <v>532</v>
      </c>
      <c r="M9" s="22">
        <v>0.74929577464788732</v>
      </c>
      <c r="P9" s="25" t="s">
        <v>58</v>
      </c>
      <c r="Q9" s="20" t="s">
        <v>12</v>
      </c>
      <c r="R9" s="23">
        <v>427</v>
      </c>
      <c r="S9" s="23">
        <v>326</v>
      </c>
      <c r="T9" s="22">
        <v>0.7634660421545667</v>
      </c>
    </row>
    <row r="10" spans="1:20" x14ac:dyDescent="0.3">
      <c r="A10" s="21" t="s">
        <v>15</v>
      </c>
      <c r="B10" s="22">
        <v>0.59965635738831613</v>
      </c>
      <c r="C10" s="22">
        <v>0.50897736143637784</v>
      </c>
      <c r="D10" s="22">
        <v>0.50034317089910774</v>
      </c>
      <c r="E10" s="22">
        <v>0.58439355385920266</v>
      </c>
      <c r="F10" s="22">
        <v>0.54477465065931907</v>
      </c>
      <c r="I10" s="26"/>
      <c r="J10" s="20" t="s">
        <v>12</v>
      </c>
      <c r="K10" s="23">
        <v>642</v>
      </c>
      <c r="L10" s="23">
        <v>337</v>
      </c>
      <c r="M10" s="22">
        <v>0.52492211838006231</v>
      </c>
      <c r="P10" s="26"/>
      <c r="Q10" s="20" t="s">
        <v>35</v>
      </c>
      <c r="R10" s="23">
        <v>790</v>
      </c>
      <c r="S10" s="23">
        <v>512</v>
      </c>
      <c r="T10" s="22">
        <v>0.64810126582278482</v>
      </c>
    </row>
    <row r="11" spans="1:20" x14ac:dyDescent="0.3">
      <c r="A11" s="21" t="s">
        <v>615</v>
      </c>
      <c r="B11" s="22">
        <v>0.50165837479270314</v>
      </c>
      <c r="C11" s="22">
        <v>0.45236631837738167</v>
      </c>
      <c r="D11" s="22">
        <v>0.53790983606557374</v>
      </c>
      <c r="E11" s="22">
        <v>0.50823723228995055</v>
      </c>
      <c r="F11" s="22">
        <v>0.49432609994027471</v>
      </c>
      <c r="I11" s="26"/>
      <c r="J11" s="20" t="s">
        <v>35</v>
      </c>
      <c r="K11" s="23">
        <v>480</v>
      </c>
      <c r="L11" s="23">
        <v>208</v>
      </c>
      <c r="M11" s="22">
        <v>0.43333333333333335</v>
      </c>
      <c r="P11" s="26"/>
      <c r="Q11" s="20" t="s">
        <v>28</v>
      </c>
      <c r="R11" s="23">
        <v>783</v>
      </c>
      <c r="S11" s="23">
        <v>415</v>
      </c>
      <c r="T11" s="22">
        <v>0.53001277139208169</v>
      </c>
    </row>
    <row r="12" spans="1:20" x14ac:dyDescent="0.3">
      <c r="A12" s="21" t="s">
        <v>369</v>
      </c>
      <c r="B12" s="22">
        <v>0.55428571428571427</v>
      </c>
      <c r="C12" s="22">
        <v>0.38773669972948605</v>
      </c>
      <c r="D12" s="22">
        <v>0.42372881355932202</v>
      </c>
      <c r="E12" s="22">
        <v>0.49573312645461598</v>
      </c>
      <c r="F12" s="22">
        <v>0.46997645211930927</v>
      </c>
      <c r="I12" s="24"/>
      <c r="J12" s="20" t="s">
        <v>23</v>
      </c>
      <c r="K12" s="23">
        <v>535</v>
      </c>
      <c r="L12" s="23">
        <v>216</v>
      </c>
      <c r="M12" s="22">
        <v>0.40373831775700936</v>
      </c>
      <c r="P12" s="24"/>
      <c r="Q12" s="20" t="s">
        <v>23</v>
      </c>
      <c r="R12" s="23">
        <v>683</v>
      </c>
      <c r="S12" s="23">
        <v>337</v>
      </c>
      <c r="T12" s="22">
        <v>0.49341142020497802</v>
      </c>
    </row>
    <row r="13" spans="1:20" x14ac:dyDescent="0.3">
      <c r="I13" s="25" t="s">
        <v>13</v>
      </c>
      <c r="J13" s="20" t="s">
        <v>35</v>
      </c>
      <c r="K13" s="23">
        <v>848</v>
      </c>
      <c r="L13" s="23">
        <v>437</v>
      </c>
      <c r="M13" s="22">
        <v>0.51533018867924529</v>
      </c>
      <c r="P13" s="25" t="s">
        <v>46</v>
      </c>
      <c r="Q13" s="20" t="s">
        <v>23</v>
      </c>
      <c r="R13" s="23">
        <v>635</v>
      </c>
      <c r="S13" s="23">
        <v>347</v>
      </c>
      <c r="T13" s="22">
        <v>0.54645669291338583</v>
      </c>
    </row>
    <row r="14" spans="1:20" x14ac:dyDescent="0.3">
      <c r="I14" s="26"/>
      <c r="J14" s="20" t="s">
        <v>28</v>
      </c>
      <c r="K14" s="23">
        <v>611</v>
      </c>
      <c r="L14" s="23">
        <v>293</v>
      </c>
      <c r="M14" s="22">
        <v>0.47954173486088381</v>
      </c>
      <c r="P14" s="26"/>
      <c r="Q14" s="20" t="s">
        <v>35</v>
      </c>
      <c r="R14" s="23">
        <v>568</v>
      </c>
      <c r="S14" s="23">
        <v>299</v>
      </c>
      <c r="T14" s="22">
        <v>0.52640845070422537</v>
      </c>
    </row>
    <row r="15" spans="1:20" ht="14.4" customHeight="1" x14ac:dyDescent="0.3">
      <c r="A15" s="33" t="s">
        <v>805</v>
      </c>
      <c r="B15" s="33"/>
      <c r="C15" s="33"/>
      <c r="D15" s="33"/>
      <c r="E15" s="33"/>
      <c r="F15" s="33"/>
      <c r="I15" s="26"/>
      <c r="J15" s="20" t="s">
        <v>12</v>
      </c>
      <c r="K15" s="23">
        <v>580</v>
      </c>
      <c r="L15" s="23">
        <v>263</v>
      </c>
      <c r="M15" s="22">
        <v>0.45344827586206898</v>
      </c>
      <c r="P15" s="26"/>
      <c r="Q15" s="20" t="s">
        <v>12</v>
      </c>
      <c r="R15" s="23">
        <v>597</v>
      </c>
      <c r="S15" s="23">
        <v>287</v>
      </c>
      <c r="T15" s="22">
        <v>0.48073701842546063</v>
      </c>
    </row>
    <row r="16" spans="1:20" x14ac:dyDescent="0.3">
      <c r="A16" s="33"/>
      <c r="B16" s="33"/>
      <c r="C16" s="33"/>
      <c r="D16" s="33"/>
      <c r="E16" s="33"/>
      <c r="F16" s="33"/>
      <c r="I16" s="24"/>
      <c r="J16" s="20" t="s">
        <v>23</v>
      </c>
      <c r="K16" s="23">
        <v>731</v>
      </c>
      <c r="L16" s="23">
        <v>316</v>
      </c>
      <c r="M16" s="22">
        <v>0.4322845417236662</v>
      </c>
      <c r="P16" s="24"/>
      <c r="Q16" s="20" t="s">
        <v>28</v>
      </c>
      <c r="R16" s="23">
        <v>763</v>
      </c>
      <c r="S16" s="23">
        <v>287</v>
      </c>
      <c r="T16" s="22">
        <v>0.37614678899082571</v>
      </c>
    </row>
    <row r="17" spans="1:20" x14ac:dyDescent="0.3">
      <c r="I17" s="25" t="s">
        <v>19</v>
      </c>
      <c r="J17" s="20" t="s">
        <v>35</v>
      </c>
      <c r="K17" s="23">
        <v>729</v>
      </c>
      <c r="L17" s="23">
        <v>461</v>
      </c>
      <c r="M17" s="22">
        <v>0.63237311385459538</v>
      </c>
      <c r="P17" s="25" t="s">
        <v>14</v>
      </c>
      <c r="Q17" s="20" t="s">
        <v>28</v>
      </c>
      <c r="R17" s="23">
        <v>560</v>
      </c>
      <c r="S17" s="23">
        <v>414</v>
      </c>
      <c r="T17" s="22">
        <v>0.73928571428571432</v>
      </c>
    </row>
    <row r="18" spans="1:20" x14ac:dyDescent="0.3">
      <c r="I18" s="26"/>
      <c r="J18" s="20" t="s">
        <v>23</v>
      </c>
      <c r="K18" s="23">
        <v>402</v>
      </c>
      <c r="L18" s="23">
        <v>236</v>
      </c>
      <c r="M18" s="22">
        <v>0.58706467661691542</v>
      </c>
      <c r="P18" s="26"/>
      <c r="Q18" s="20" t="s">
        <v>35</v>
      </c>
      <c r="R18" s="23">
        <v>831</v>
      </c>
      <c r="S18" s="23">
        <v>442</v>
      </c>
      <c r="T18" s="22">
        <v>0.53188929001203367</v>
      </c>
    </row>
    <row r="19" spans="1:20" x14ac:dyDescent="0.3">
      <c r="A19" s="32" t="s">
        <v>809</v>
      </c>
      <c r="B19" s="32"/>
      <c r="C19" s="32"/>
      <c r="D19" s="32"/>
      <c r="E19" s="32"/>
      <c r="I19" s="26"/>
      <c r="J19" s="20" t="s">
        <v>28</v>
      </c>
      <c r="K19" s="23">
        <v>754</v>
      </c>
      <c r="L19" s="23">
        <v>409</v>
      </c>
      <c r="M19" s="22">
        <v>0.54244031830238726</v>
      </c>
      <c r="P19" s="26"/>
      <c r="Q19" s="20" t="s">
        <v>23</v>
      </c>
      <c r="R19" s="23">
        <v>792</v>
      </c>
      <c r="S19" s="23">
        <v>309</v>
      </c>
      <c r="T19" s="22">
        <v>0.39015151515151514</v>
      </c>
    </row>
    <row r="20" spans="1:20" x14ac:dyDescent="0.3">
      <c r="I20" s="24"/>
      <c r="J20" s="20" t="s">
        <v>12</v>
      </c>
      <c r="K20" s="23">
        <v>494</v>
      </c>
      <c r="L20" s="23">
        <v>97</v>
      </c>
      <c r="M20" s="22">
        <v>0.19635627530364372</v>
      </c>
      <c r="P20" s="24"/>
      <c r="Q20" s="20" t="s">
        <v>12</v>
      </c>
      <c r="R20" s="23">
        <v>656</v>
      </c>
      <c r="S20" s="23">
        <v>237</v>
      </c>
      <c r="T20" s="22">
        <v>0.36128048780487804</v>
      </c>
    </row>
    <row r="21" spans="1:20" x14ac:dyDescent="0.3">
      <c r="A21" s="1" t="s">
        <v>5</v>
      </c>
      <c r="B21" s="19" t="s">
        <v>808</v>
      </c>
      <c r="C21" s="20" t="s">
        <v>804</v>
      </c>
      <c r="D21" s="20" t="s">
        <v>795</v>
      </c>
      <c r="E21" s="20" t="s">
        <v>794</v>
      </c>
      <c r="I21" s="25" t="s">
        <v>36</v>
      </c>
      <c r="J21" s="20" t="s">
        <v>12</v>
      </c>
      <c r="K21" s="23">
        <v>700</v>
      </c>
      <c r="L21" s="23">
        <v>439</v>
      </c>
      <c r="M21" s="22">
        <v>0.62714285714285711</v>
      </c>
      <c r="P21" s="25" t="s">
        <v>29</v>
      </c>
      <c r="Q21" s="20" t="s">
        <v>28</v>
      </c>
      <c r="R21" s="23">
        <v>495</v>
      </c>
      <c r="S21" s="23">
        <v>316</v>
      </c>
      <c r="T21" s="22">
        <v>0.63838383838383839</v>
      </c>
    </row>
    <row r="22" spans="1:20" x14ac:dyDescent="0.3">
      <c r="A22" s="29" t="s">
        <v>24</v>
      </c>
      <c r="B22" s="20" t="s">
        <v>15</v>
      </c>
      <c r="C22" s="23">
        <v>747</v>
      </c>
      <c r="D22" s="23">
        <v>421</v>
      </c>
      <c r="E22" s="22">
        <v>0.56358768406961179</v>
      </c>
      <c r="I22" s="26"/>
      <c r="J22" s="20" t="s">
        <v>35</v>
      </c>
      <c r="K22" s="23">
        <v>694</v>
      </c>
      <c r="L22" s="23">
        <v>365</v>
      </c>
      <c r="M22" s="22">
        <v>0.52593659942363113</v>
      </c>
      <c r="P22" s="26"/>
      <c r="Q22" s="20" t="s">
        <v>35</v>
      </c>
      <c r="R22" s="23">
        <v>524</v>
      </c>
      <c r="S22" s="23">
        <v>315</v>
      </c>
      <c r="T22" s="22">
        <v>0.60114503816793896</v>
      </c>
    </row>
    <row r="23" spans="1:20" x14ac:dyDescent="0.3">
      <c r="A23" s="27"/>
      <c r="B23" s="20" t="s">
        <v>369</v>
      </c>
      <c r="C23" s="23">
        <v>929</v>
      </c>
      <c r="D23" s="23">
        <v>510</v>
      </c>
      <c r="E23" s="22">
        <v>0.54897739504843923</v>
      </c>
      <c r="I23" s="26"/>
      <c r="J23" s="20" t="s">
        <v>23</v>
      </c>
      <c r="K23" s="23">
        <v>680</v>
      </c>
      <c r="L23" s="23">
        <v>338</v>
      </c>
      <c r="M23" s="22">
        <v>0.49705882352941178</v>
      </c>
      <c r="P23" s="26"/>
      <c r="Q23" s="20" t="s">
        <v>12</v>
      </c>
      <c r="R23" s="23">
        <v>511</v>
      </c>
      <c r="S23" s="23">
        <v>288</v>
      </c>
      <c r="T23" s="22">
        <v>0.56360078277886494</v>
      </c>
    </row>
    <row r="24" spans="1:20" x14ac:dyDescent="0.3">
      <c r="A24" s="28"/>
      <c r="B24" s="20" t="s">
        <v>615</v>
      </c>
      <c r="C24" s="23">
        <v>691</v>
      </c>
      <c r="D24" s="23">
        <v>362</v>
      </c>
      <c r="E24" s="22">
        <v>0.52387843704775683</v>
      </c>
      <c r="I24" s="24"/>
      <c r="J24" s="20" t="s">
        <v>28</v>
      </c>
      <c r="K24" s="23">
        <v>479</v>
      </c>
      <c r="L24" s="23">
        <v>204</v>
      </c>
      <c r="M24" s="22">
        <v>0.42588726513569936</v>
      </c>
      <c r="P24" s="24"/>
      <c r="Q24" s="20" t="s">
        <v>23</v>
      </c>
      <c r="R24" s="23">
        <v>426</v>
      </c>
      <c r="S24" s="23">
        <v>178</v>
      </c>
      <c r="T24" s="22">
        <v>0.41784037558685444</v>
      </c>
    </row>
    <row r="25" spans="1:20" x14ac:dyDescent="0.3">
      <c r="A25" s="27" t="s">
        <v>13</v>
      </c>
      <c r="B25" s="20" t="s">
        <v>15</v>
      </c>
      <c r="C25" s="23">
        <v>979</v>
      </c>
      <c r="D25" s="23">
        <v>528</v>
      </c>
      <c r="E25" s="22">
        <v>0.5393258426966292</v>
      </c>
      <c r="I25" s="25" t="s">
        <v>45</v>
      </c>
      <c r="J25" s="20" t="s">
        <v>35</v>
      </c>
      <c r="K25" s="23">
        <v>523</v>
      </c>
      <c r="L25" s="23">
        <v>332</v>
      </c>
      <c r="M25" s="22">
        <v>0.63479923518164438</v>
      </c>
      <c r="P25" s="25" t="s">
        <v>20</v>
      </c>
      <c r="Q25" s="20" t="s">
        <v>35</v>
      </c>
      <c r="R25" s="23">
        <v>408</v>
      </c>
      <c r="S25" s="23">
        <v>244</v>
      </c>
      <c r="T25" s="22">
        <v>0.59803921568627449</v>
      </c>
    </row>
    <row r="26" spans="1:20" x14ac:dyDescent="0.3">
      <c r="A26" s="27"/>
      <c r="B26" s="20" t="s">
        <v>369</v>
      </c>
      <c r="C26" s="23">
        <v>864</v>
      </c>
      <c r="D26" s="23">
        <v>445</v>
      </c>
      <c r="E26" s="22">
        <v>0.51504629629629628</v>
      </c>
      <c r="I26" s="26"/>
      <c r="J26" s="20" t="s">
        <v>12</v>
      </c>
      <c r="K26" s="23">
        <v>570</v>
      </c>
      <c r="L26" s="23">
        <v>263</v>
      </c>
      <c r="M26" s="22">
        <v>0.46140350877192982</v>
      </c>
      <c r="P26" s="26"/>
      <c r="Q26" s="20" t="s">
        <v>28</v>
      </c>
      <c r="R26" s="23">
        <v>454</v>
      </c>
      <c r="S26" s="23">
        <v>228</v>
      </c>
      <c r="T26" s="22">
        <v>0.50220264317180618</v>
      </c>
    </row>
    <row r="27" spans="1:20" x14ac:dyDescent="0.3">
      <c r="A27" s="28"/>
      <c r="B27" s="20" t="s">
        <v>615</v>
      </c>
      <c r="C27" s="23">
        <v>927</v>
      </c>
      <c r="D27" s="23">
        <v>336</v>
      </c>
      <c r="E27" s="22">
        <v>0.36245954692556637</v>
      </c>
      <c r="I27" s="26"/>
      <c r="J27" s="20" t="s">
        <v>28</v>
      </c>
      <c r="K27" s="23">
        <v>555</v>
      </c>
      <c r="L27" s="23">
        <v>252</v>
      </c>
      <c r="M27" s="22">
        <v>0.45405405405405408</v>
      </c>
      <c r="P27" s="26"/>
      <c r="Q27" s="20" t="s">
        <v>23</v>
      </c>
      <c r="R27" s="23">
        <v>576</v>
      </c>
      <c r="S27" s="23">
        <v>245</v>
      </c>
      <c r="T27" s="22">
        <v>0.42534722222222221</v>
      </c>
    </row>
    <row r="28" spans="1:20" x14ac:dyDescent="0.3">
      <c r="A28" s="27" t="s">
        <v>19</v>
      </c>
      <c r="B28" s="20" t="s">
        <v>615</v>
      </c>
      <c r="C28" s="23">
        <v>854</v>
      </c>
      <c r="D28" s="23">
        <v>583</v>
      </c>
      <c r="E28" s="22">
        <v>0.68266978922716626</v>
      </c>
      <c r="I28" s="24"/>
      <c r="J28" s="20" t="s">
        <v>23</v>
      </c>
      <c r="K28" s="23">
        <v>841</v>
      </c>
      <c r="L28" s="23">
        <v>355</v>
      </c>
      <c r="M28" s="22">
        <v>0.42211652794292509</v>
      </c>
      <c r="P28" s="24"/>
      <c r="Q28" s="20" t="s">
        <v>12</v>
      </c>
      <c r="R28" s="23">
        <v>886</v>
      </c>
      <c r="S28" s="23">
        <v>361</v>
      </c>
      <c r="T28" s="22">
        <v>0.4074492099322799</v>
      </c>
    </row>
    <row r="29" spans="1:20" x14ac:dyDescent="0.3">
      <c r="A29" s="27"/>
      <c r="B29" s="20" t="s">
        <v>15</v>
      </c>
      <c r="C29" s="23">
        <v>768</v>
      </c>
      <c r="D29" s="23">
        <v>383</v>
      </c>
      <c r="E29" s="22">
        <v>0.49869791666666669</v>
      </c>
      <c r="I29" s="26" t="s">
        <v>49</v>
      </c>
      <c r="J29" s="20" t="s">
        <v>35</v>
      </c>
      <c r="K29" s="23">
        <v>496</v>
      </c>
      <c r="L29" s="23">
        <v>276</v>
      </c>
      <c r="M29" s="22">
        <v>0.55645161290322576</v>
      </c>
      <c r="P29" s="25" t="s">
        <v>25</v>
      </c>
      <c r="Q29" s="20" t="s">
        <v>12</v>
      </c>
      <c r="R29" s="23">
        <v>654</v>
      </c>
      <c r="S29" s="23">
        <v>305</v>
      </c>
      <c r="T29" s="22">
        <v>0.46636085626911317</v>
      </c>
    </row>
    <row r="30" spans="1:20" x14ac:dyDescent="0.3">
      <c r="A30" s="28"/>
      <c r="B30" s="20" t="s">
        <v>369</v>
      </c>
      <c r="C30" s="23">
        <v>757</v>
      </c>
      <c r="D30" s="23">
        <v>237</v>
      </c>
      <c r="E30" s="22">
        <v>0.31307793923381771</v>
      </c>
      <c r="I30" s="26"/>
      <c r="J30" s="20" t="s">
        <v>12</v>
      </c>
      <c r="K30" s="23">
        <v>745</v>
      </c>
      <c r="L30" s="23">
        <v>405</v>
      </c>
      <c r="M30" s="22">
        <v>0.5436241610738255</v>
      </c>
      <c r="P30" s="26"/>
      <c r="Q30" s="20" t="s">
        <v>28</v>
      </c>
      <c r="R30" s="23">
        <v>627</v>
      </c>
      <c r="S30" s="23">
        <v>285</v>
      </c>
      <c r="T30" s="22">
        <v>0.45454545454545453</v>
      </c>
    </row>
    <row r="31" spans="1:20" x14ac:dyDescent="0.3">
      <c r="A31" s="27" t="s">
        <v>36</v>
      </c>
      <c r="B31" s="20" t="s">
        <v>15</v>
      </c>
      <c r="C31" s="23">
        <v>1103</v>
      </c>
      <c r="D31" s="23">
        <v>662</v>
      </c>
      <c r="E31" s="22">
        <v>0.60018132366273802</v>
      </c>
      <c r="I31" s="26"/>
      <c r="J31" s="20" t="s">
        <v>28</v>
      </c>
      <c r="K31" s="23">
        <v>573</v>
      </c>
      <c r="L31" s="23">
        <v>255</v>
      </c>
      <c r="M31" s="22">
        <v>0.44502617801047123</v>
      </c>
      <c r="P31" s="26"/>
      <c r="Q31" s="20" t="s">
        <v>23</v>
      </c>
      <c r="R31" s="23">
        <v>905</v>
      </c>
      <c r="S31" s="23">
        <v>402</v>
      </c>
      <c r="T31" s="22">
        <v>0.44419889502762433</v>
      </c>
    </row>
    <row r="32" spans="1:20" x14ac:dyDescent="0.3">
      <c r="A32" s="27"/>
      <c r="B32" s="20" t="s">
        <v>615</v>
      </c>
      <c r="C32" s="23">
        <v>801</v>
      </c>
      <c r="D32" s="23">
        <v>390</v>
      </c>
      <c r="E32" s="22">
        <v>0.48689138576779029</v>
      </c>
      <c r="I32" s="24"/>
      <c r="J32" s="20" t="s">
        <v>23</v>
      </c>
      <c r="K32" s="23">
        <v>828</v>
      </c>
      <c r="L32" s="23">
        <v>357</v>
      </c>
      <c r="M32" s="22">
        <v>0.4311594202898551</v>
      </c>
      <c r="P32" s="24"/>
      <c r="Q32" s="20" t="s">
        <v>35</v>
      </c>
      <c r="R32" s="23">
        <v>649</v>
      </c>
      <c r="S32" s="23">
        <v>267</v>
      </c>
      <c r="T32" s="22">
        <v>0.41140215716486905</v>
      </c>
    </row>
    <row r="33" spans="1:20" x14ac:dyDescent="0.3">
      <c r="A33" s="28"/>
      <c r="B33" s="20" t="s">
        <v>369</v>
      </c>
      <c r="C33" s="23">
        <v>649</v>
      </c>
      <c r="D33" s="23">
        <v>294</v>
      </c>
      <c r="E33" s="22">
        <v>0.45300462249614792</v>
      </c>
      <c r="I33" t="s">
        <v>793</v>
      </c>
      <c r="K33" s="5">
        <v>15200</v>
      </c>
      <c r="L33" s="5">
        <v>7646</v>
      </c>
      <c r="M33" s="3">
        <v>0.50302631578947365</v>
      </c>
      <c r="P33" t="s">
        <v>793</v>
      </c>
      <c r="R33" s="5">
        <v>15200</v>
      </c>
      <c r="S33" s="5">
        <v>7646</v>
      </c>
      <c r="T33" s="3">
        <v>0.50302631578947365</v>
      </c>
    </row>
    <row r="34" spans="1:20" x14ac:dyDescent="0.3">
      <c r="A34" s="27" t="s">
        <v>45</v>
      </c>
      <c r="B34" s="20" t="s">
        <v>369</v>
      </c>
      <c r="C34" s="23">
        <v>905</v>
      </c>
      <c r="D34" s="23">
        <v>455</v>
      </c>
      <c r="E34" s="22">
        <v>0.50276243093922657</v>
      </c>
    </row>
    <row r="35" spans="1:20" x14ac:dyDescent="0.3">
      <c r="A35" s="27"/>
      <c r="B35" s="20" t="s">
        <v>15</v>
      </c>
      <c r="C35" s="23">
        <v>671</v>
      </c>
      <c r="D35" s="23">
        <v>331</v>
      </c>
      <c r="E35" s="22">
        <v>0.49329359165424741</v>
      </c>
    </row>
    <row r="36" spans="1:20" x14ac:dyDescent="0.3">
      <c r="A36" s="28"/>
      <c r="B36" s="20" t="s">
        <v>615</v>
      </c>
      <c r="C36" s="23">
        <v>913</v>
      </c>
      <c r="D36" s="23">
        <v>416</v>
      </c>
      <c r="E36" s="22">
        <v>0.45564074479737132</v>
      </c>
    </row>
    <row r="37" spans="1:20" x14ac:dyDescent="0.3">
      <c r="A37" s="27" t="s">
        <v>49</v>
      </c>
      <c r="B37" s="20" t="s">
        <v>15</v>
      </c>
      <c r="C37" s="23">
        <v>813</v>
      </c>
      <c r="D37" s="23">
        <v>443</v>
      </c>
      <c r="E37" s="22">
        <v>0.54489544895448949</v>
      </c>
    </row>
    <row r="38" spans="1:20" x14ac:dyDescent="0.3">
      <c r="A38" s="27"/>
      <c r="B38" s="20" t="s">
        <v>615</v>
      </c>
      <c r="C38" s="23">
        <v>837</v>
      </c>
      <c r="D38" s="23">
        <v>396</v>
      </c>
      <c r="E38" s="22">
        <v>0.4731182795698925</v>
      </c>
    </row>
    <row r="39" spans="1:20" x14ac:dyDescent="0.3">
      <c r="A39" s="28"/>
      <c r="B39" s="20" t="s">
        <v>369</v>
      </c>
      <c r="C39" s="23">
        <v>992</v>
      </c>
      <c r="D39" s="23">
        <v>454</v>
      </c>
      <c r="E39" s="22">
        <v>0.45766129032258063</v>
      </c>
    </row>
    <row r="40" spans="1:20" x14ac:dyDescent="0.3">
      <c r="A40" t="s">
        <v>793</v>
      </c>
      <c r="C40" s="5">
        <v>15200</v>
      </c>
      <c r="D40" s="5">
        <v>7646</v>
      </c>
      <c r="E40" s="3">
        <v>0.50302631578947365</v>
      </c>
    </row>
  </sheetData>
  <mergeCells count="5">
    <mergeCell ref="A5:F5"/>
    <mergeCell ref="P5:T5"/>
    <mergeCell ref="I5:M5"/>
    <mergeCell ref="A15:F16"/>
    <mergeCell ref="A19:E19"/>
  </mergeCells>
  <conditionalFormatting pivot="1" sqref="B10:F12">
    <cfRule type="colorScale" priority="4">
      <colorScale>
        <cfvo type="min"/>
        <cfvo type="percentile" val="50"/>
        <cfvo type="max"/>
        <color rgb="FF63BE7B"/>
        <color rgb="FFFCFCFF"/>
        <color rgb="FFF8696B"/>
      </colorScale>
    </cfRule>
  </conditionalFormatting>
  <conditionalFormatting pivot="1" sqref="M9:M33">
    <cfRule type="colorScale" priority="3">
      <colorScale>
        <cfvo type="min"/>
        <cfvo type="percentile" val="50.3"/>
        <cfvo type="max"/>
        <color rgb="FF63BE7B"/>
        <color rgb="FFFCFCFF"/>
        <color rgb="FFF8696B"/>
      </colorScale>
    </cfRule>
  </conditionalFormatting>
  <conditionalFormatting pivot="1" sqref="T9:T33">
    <cfRule type="colorScale" priority="2">
      <colorScale>
        <cfvo type="min"/>
        <cfvo type="percentile" val="50.3"/>
        <cfvo type="max"/>
        <color rgb="FF63BE7B"/>
        <color rgb="FFFCFCFF"/>
        <color rgb="FFF8696B"/>
      </colorScale>
    </cfRule>
  </conditionalFormatting>
  <conditionalFormatting pivot="1" sqref="E22:E40">
    <cfRule type="colorScale" priority="1">
      <colorScale>
        <cfvo type="min"/>
        <cfvo type="percentile" val="50.3"/>
        <cfvo type="max"/>
        <color rgb="FF63BE7B"/>
        <color rgb="FFFCFCFF"/>
        <color rgb="FFF8696B"/>
      </colorScale>
    </cfRule>
  </conditionalFormatting>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F8B44-DFEF-4C18-AAA8-CEABCB24098A}">
  <sheetPr>
    <tabColor rgb="FF00B0F0"/>
  </sheetPr>
  <dimension ref="A1:L602"/>
  <sheetViews>
    <sheetView showGridLines="0" workbookViewId="0">
      <pane ySplit="1" topLeftCell="A2" activePane="bottomLeft" state="frozen"/>
      <selection pane="bottomLeft"/>
    </sheetView>
  </sheetViews>
  <sheetFormatPr defaultRowHeight="14.4" x14ac:dyDescent="0.3"/>
  <cols>
    <col min="1" max="1" width="13.5546875" bestFit="1" customWidth="1"/>
    <col min="2" max="2" width="11.5546875" bestFit="1" customWidth="1"/>
    <col min="3" max="3" width="11.6640625" bestFit="1" customWidth="1"/>
    <col min="4" max="4" width="21" bestFit="1" customWidth="1"/>
    <col min="5" max="5" width="18.6640625" bestFit="1" customWidth="1"/>
    <col min="6" max="6" width="10" bestFit="1" customWidth="1"/>
    <col min="7" max="7" width="16.109375" bestFit="1" customWidth="1"/>
    <col min="8" max="8" width="11.33203125" bestFit="1" customWidth="1"/>
    <col min="9" max="9" width="11.77734375" bestFit="1" customWidth="1"/>
    <col min="10" max="10" width="12.88671875" bestFit="1" customWidth="1"/>
    <col min="11" max="11" width="10.44140625" bestFit="1" customWidth="1"/>
    <col min="12" max="12" width="20.21875" bestFit="1" customWidth="1"/>
  </cols>
  <sheetData>
    <row r="1" spans="1:12" x14ac:dyDescent="0.3">
      <c r="A1" t="s">
        <v>0</v>
      </c>
      <c r="B1" t="s">
        <v>1</v>
      </c>
      <c r="C1" t="s">
        <v>2</v>
      </c>
      <c r="D1" t="s">
        <v>3</v>
      </c>
      <c r="E1" t="s">
        <v>4</v>
      </c>
      <c r="F1" t="s">
        <v>5</v>
      </c>
      <c r="G1" t="s">
        <v>6</v>
      </c>
      <c r="H1" t="s">
        <v>7</v>
      </c>
      <c r="I1" t="s">
        <v>8</v>
      </c>
      <c r="J1" t="s">
        <v>9</v>
      </c>
    </row>
    <row r="2" spans="1:12" x14ac:dyDescent="0.3">
      <c r="A2" t="s">
        <v>10</v>
      </c>
      <c r="B2" t="s">
        <v>11</v>
      </c>
      <c r="C2" t="s">
        <v>12</v>
      </c>
      <c r="D2">
        <v>3895.66</v>
      </c>
      <c r="E2">
        <v>37</v>
      </c>
      <c r="F2" t="s">
        <v>13</v>
      </c>
      <c r="G2" t="s">
        <v>14</v>
      </c>
      <c r="H2" t="s">
        <v>15</v>
      </c>
      <c r="I2">
        <v>0</v>
      </c>
      <c r="J2" t="s">
        <v>16</v>
      </c>
    </row>
    <row r="3" spans="1:12" x14ac:dyDescent="0.3">
      <c r="A3" t="s">
        <v>17</v>
      </c>
      <c r="B3" t="s">
        <v>18</v>
      </c>
      <c r="C3" t="s">
        <v>12</v>
      </c>
      <c r="D3">
        <v>2485.0300000000002</v>
      </c>
      <c r="E3">
        <v>20</v>
      </c>
      <c r="F3" t="s">
        <v>19</v>
      </c>
      <c r="G3" t="s">
        <v>20</v>
      </c>
      <c r="H3" t="s">
        <v>15</v>
      </c>
      <c r="I3">
        <v>0</v>
      </c>
      <c r="J3" t="s">
        <v>16</v>
      </c>
    </row>
    <row r="4" spans="1:12" x14ac:dyDescent="0.3">
      <c r="A4" t="s">
        <v>21</v>
      </c>
      <c r="B4" t="s">
        <v>22</v>
      </c>
      <c r="C4" t="s">
        <v>23</v>
      </c>
      <c r="D4">
        <v>3121.59</v>
      </c>
      <c r="E4">
        <v>29</v>
      </c>
      <c r="F4" t="s">
        <v>24</v>
      </c>
      <c r="G4" t="s">
        <v>25</v>
      </c>
      <c r="H4" t="s">
        <v>15</v>
      </c>
      <c r="I4">
        <v>0</v>
      </c>
      <c r="J4" t="s">
        <v>16</v>
      </c>
    </row>
    <row r="5" spans="1:12" x14ac:dyDescent="0.3">
      <c r="A5" t="s">
        <v>26</v>
      </c>
      <c r="B5" t="s">
        <v>27</v>
      </c>
      <c r="C5" t="s">
        <v>28</v>
      </c>
      <c r="D5">
        <v>3569.24</v>
      </c>
      <c r="E5">
        <v>41</v>
      </c>
      <c r="F5" t="s">
        <v>13</v>
      </c>
      <c r="G5" t="s">
        <v>29</v>
      </c>
      <c r="H5" t="s">
        <v>15</v>
      </c>
      <c r="I5">
        <v>1</v>
      </c>
      <c r="J5" t="s">
        <v>30</v>
      </c>
    </row>
    <row r="6" spans="1:12" x14ac:dyDescent="0.3">
      <c r="A6" t="s">
        <v>31</v>
      </c>
      <c r="B6" t="s">
        <v>32</v>
      </c>
      <c r="C6" t="s">
        <v>12</v>
      </c>
      <c r="D6">
        <v>2811.33</v>
      </c>
      <c r="E6">
        <v>26</v>
      </c>
      <c r="F6" t="s">
        <v>24</v>
      </c>
      <c r="G6" t="s">
        <v>25</v>
      </c>
      <c r="H6" t="s">
        <v>15</v>
      </c>
      <c r="I6">
        <v>1</v>
      </c>
      <c r="J6" t="s">
        <v>30</v>
      </c>
      <c r="L6" s="15"/>
    </row>
    <row r="7" spans="1:12" x14ac:dyDescent="0.3">
      <c r="A7" t="s">
        <v>33</v>
      </c>
      <c r="B7" t="s">
        <v>34</v>
      </c>
      <c r="C7" t="s">
        <v>35</v>
      </c>
      <c r="D7">
        <v>517.91999999999996</v>
      </c>
      <c r="E7">
        <v>31</v>
      </c>
      <c r="F7" t="s">
        <v>36</v>
      </c>
      <c r="G7" t="s">
        <v>20</v>
      </c>
      <c r="H7" t="s">
        <v>15</v>
      </c>
      <c r="I7">
        <v>0</v>
      </c>
      <c r="J7" t="s">
        <v>16</v>
      </c>
    </row>
    <row r="8" spans="1:12" x14ac:dyDescent="0.3">
      <c r="A8" t="s">
        <v>37</v>
      </c>
      <c r="B8" t="s">
        <v>38</v>
      </c>
      <c r="C8" t="s">
        <v>35</v>
      </c>
      <c r="D8">
        <v>3840.21</v>
      </c>
      <c r="E8">
        <v>17</v>
      </c>
      <c r="F8" t="s">
        <v>13</v>
      </c>
      <c r="G8" t="s">
        <v>14</v>
      </c>
      <c r="H8" t="s">
        <v>15</v>
      </c>
      <c r="I8">
        <v>1</v>
      </c>
      <c r="J8" t="s">
        <v>30</v>
      </c>
    </row>
    <row r="9" spans="1:12" x14ac:dyDescent="0.3">
      <c r="A9" t="s">
        <v>39</v>
      </c>
      <c r="B9" t="s">
        <v>40</v>
      </c>
      <c r="C9" t="s">
        <v>12</v>
      </c>
      <c r="D9">
        <v>3251.22</v>
      </c>
      <c r="E9">
        <v>43</v>
      </c>
      <c r="F9" t="s">
        <v>24</v>
      </c>
      <c r="G9" t="s">
        <v>29</v>
      </c>
      <c r="H9" t="s">
        <v>15</v>
      </c>
      <c r="I9">
        <v>1</v>
      </c>
      <c r="J9" t="s">
        <v>30</v>
      </c>
    </row>
    <row r="10" spans="1:12" x14ac:dyDescent="0.3">
      <c r="A10" t="s">
        <v>41</v>
      </c>
      <c r="B10" t="s">
        <v>42</v>
      </c>
      <c r="C10" t="s">
        <v>23</v>
      </c>
      <c r="D10">
        <v>1246.25</v>
      </c>
      <c r="E10">
        <v>5</v>
      </c>
      <c r="F10" t="s">
        <v>24</v>
      </c>
      <c r="G10" t="s">
        <v>25</v>
      </c>
      <c r="H10" t="s">
        <v>15</v>
      </c>
      <c r="I10">
        <v>0</v>
      </c>
      <c r="J10" t="s">
        <v>16</v>
      </c>
    </row>
    <row r="11" spans="1:12" x14ac:dyDescent="0.3">
      <c r="A11" t="s">
        <v>43</v>
      </c>
      <c r="B11" t="s">
        <v>44</v>
      </c>
      <c r="C11" t="s">
        <v>12</v>
      </c>
      <c r="D11">
        <v>2380.3000000000002</v>
      </c>
      <c r="E11">
        <v>6</v>
      </c>
      <c r="F11" t="s">
        <v>45</v>
      </c>
      <c r="G11" t="s">
        <v>46</v>
      </c>
      <c r="H11" t="s">
        <v>15</v>
      </c>
      <c r="I11">
        <v>0</v>
      </c>
      <c r="J11" t="s">
        <v>16</v>
      </c>
    </row>
    <row r="12" spans="1:12" x14ac:dyDescent="0.3">
      <c r="A12" t="s">
        <v>47</v>
      </c>
      <c r="B12" t="s">
        <v>48</v>
      </c>
      <c r="C12" t="s">
        <v>23</v>
      </c>
      <c r="D12">
        <v>1680.59</v>
      </c>
      <c r="E12">
        <v>15</v>
      </c>
      <c r="F12" t="s">
        <v>49</v>
      </c>
      <c r="G12" t="s">
        <v>46</v>
      </c>
      <c r="H12" t="s">
        <v>15</v>
      </c>
      <c r="I12">
        <v>0</v>
      </c>
      <c r="J12" t="s">
        <v>16</v>
      </c>
    </row>
    <row r="13" spans="1:12" x14ac:dyDescent="0.3">
      <c r="A13" t="s">
        <v>50</v>
      </c>
      <c r="B13" t="s">
        <v>51</v>
      </c>
      <c r="C13" t="s">
        <v>12</v>
      </c>
      <c r="D13">
        <v>4229.63</v>
      </c>
      <c r="E13">
        <v>20</v>
      </c>
      <c r="F13" t="s">
        <v>24</v>
      </c>
      <c r="G13" t="s">
        <v>25</v>
      </c>
      <c r="H13" t="s">
        <v>15</v>
      </c>
      <c r="I13">
        <v>1</v>
      </c>
      <c r="J13" t="s">
        <v>30</v>
      </c>
    </row>
    <row r="14" spans="1:12" x14ac:dyDescent="0.3">
      <c r="A14" t="s">
        <v>52</v>
      </c>
      <c r="B14" t="s">
        <v>53</v>
      </c>
      <c r="C14" t="s">
        <v>23</v>
      </c>
      <c r="D14">
        <v>2274.63</v>
      </c>
      <c r="E14">
        <v>13</v>
      </c>
      <c r="F14" t="s">
        <v>24</v>
      </c>
      <c r="G14" t="s">
        <v>46</v>
      </c>
      <c r="H14" t="s">
        <v>15</v>
      </c>
      <c r="I14">
        <v>1</v>
      </c>
      <c r="J14" t="s">
        <v>30</v>
      </c>
    </row>
    <row r="15" spans="1:12" x14ac:dyDescent="0.3">
      <c r="A15" t="s">
        <v>54</v>
      </c>
      <c r="B15" t="s">
        <v>55</v>
      </c>
      <c r="C15" t="s">
        <v>28</v>
      </c>
      <c r="D15">
        <v>3654.55</v>
      </c>
      <c r="E15">
        <v>7</v>
      </c>
      <c r="F15" t="s">
        <v>19</v>
      </c>
      <c r="G15" t="s">
        <v>20</v>
      </c>
      <c r="H15" t="s">
        <v>15</v>
      </c>
      <c r="I15">
        <v>1</v>
      </c>
      <c r="J15" t="s">
        <v>30</v>
      </c>
    </row>
    <row r="16" spans="1:12" x14ac:dyDescent="0.3">
      <c r="A16" t="s">
        <v>56</v>
      </c>
      <c r="B16" t="s">
        <v>57</v>
      </c>
      <c r="C16" t="s">
        <v>28</v>
      </c>
      <c r="D16">
        <v>4917.75</v>
      </c>
      <c r="E16">
        <v>4</v>
      </c>
      <c r="F16" t="s">
        <v>45</v>
      </c>
      <c r="G16" t="s">
        <v>58</v>
      </c>
      <c r="H16" t="s">
        <v>15</v>
      </c>
      <c r="I16">
        <v>1</v>
      </c>
      <c r="J16" t="s">
        <v>30</v>
      </c>
    </row>
    <row r="17" spans="1:10" x14ac:dyDescent="0.3">
      <c r="A17" t="s">
        <v>59</v>
      </c>
      <c r="B17" t="s">
        <v>18</v>
      </c>
      <c r="C17" t="s">
        <v>12</v>
      </c>
      <c r="D17">
        <v>3813.95</v>
      </c>
      <c r="E17">
        <v>20</v>
      </c>
      <c r="F17" t="s">
        <v>13</v>
      </c>
      <c r="G17" t="s">
        <v>58</v>
      </c>
      <c r="H17" t="s">
        <v>15</v>
      </c>
      <c r="I17">
        <v>1</v>
      </c>
      <c r="J17" t="s">
        <v>30</v>
      </c>
    </row>
    <row r="18" spans="1:10" x14ac:dyDescent="0.3">
      <c r="A18" t="s">
        <v>60</v>
      </c>
      <c r="B18" t="s">
        <v>61</v>
      </c>
      <c r="C18" t="s">
        <v>12</v>
      </c>
      <c r="D18">
        <v>914.19</v>
      </c>
      <c r="E18">
        <v>31</v>
      </c>
      <c r="F18" t="s">
        <v>49</v>
      </c>
      <c r="G18" t="s">
        <v>29</v>
      </c>
      <c r="H18" t="s">
        <v>15</v>
      </c>
      <c r="I18">
        <v>1</v>
      </c>
      <c r="J18" t="s">
        <v>30</v>
      </c>
    </row>
    <row r="19" spans="1:10" x14ac:dyDescent="0.3">
      <c r="A19" t="s">
        <v>62</v>
      </c>
      <c r="B19" t="s">
        <v>63</v>
      </c>
      <c r="C19" t="s">
        <v>28</v>
      </c>
      <c r="D19">
        <v>3459.12</v>
      </c>
      <c r="E19">
        <v>43</v>
      </c>
      <c r="F19" t="s">
        <v>45</v>
      </c>
      <c r="G19" t="s">
        <v>25</v>
      </c>
      <c r="H19" t="s">
        <v>15</v>
      </c>
      <c r="I19">
        <v>1</v>
      </c>
      <c r="J19" t="s">
        <v>30</v>
      </c>
    </row>
    <row r="20" spans="1:10" x14ac:dyDescent="0.3">
      <c r="A20" t="s">
        <v>64</v>
      </c>
      <c r="B20" t="s">
        <v>65</v>
      </c>
      <c r="C20" t="s">
        <v>35</v>
      </c>
      <c r="D20">
        <v>1752.45</v>
      </c>
      <c r="E20">
        <v>42</v>
      </c>
      <c r="F20" t="s">
        <v>49</v>
      </c>
      <c r="G20" t="s">
        <v>14</v>
      </c>
      <c r="H20" t="s">
        <v>15</v>
      </c>
      <c r="I20">
        <v>1</v>
      </c>
      <c r="J20" t="s">
        <v>30</v>
      </c>
    </row>
    <row r="21" spans="1:10" x14ac:dyDescent="0.3">
      <c r="A21" t="s">
        <v>66</v>
      </c>
      <c r="B21" t="s">
        <v>67</v>
      </c>
      <c r="C21" t="s">
        <v>23</v>
      </c>
      <c r="D21">
        <v>613</v>
      </c>
      <c r="E21">
        <v>18</v>
      </c>
      <c r="F21" t="s">
        <v>24</v>
      </c>
      <c r="G21" t="s">
        <v>46</v>
      </c>
      <c r="H21" t="s">
        <v>15</v>
      </c>
      <c r="I21">
        <v>1</v>
      </c>
      <c r="J21" t="s">
        <v>30</v>
      </c>
    </row>
    <row r="22" spans="1:10" x14ac:dyDescent="0.3">
      <c r="A22" t="s">
        <v>68</v>
      </c>
      <c r="B22" t="s">
        <v>69</v>
      </c>
      <c r="C22" t="s">
        <v>28</v>
      </c>
      <c r="D22">
        <v>2804.13</v>
      </c>
      <c r="E22">
        <v>8</v>
      </c>
      <c r="F22" t="s">
        <v>24</v>
      </c>
      <c r="G22" t="s">
        <v>46</v>
      </c>
      <c r="H22" t="s">
        <v>15</v>
      </c>
      <c r="I22">
        <v>0</v>
      </c>
      <c r="J22" t="s">
        <v>16</v>
      </c>
    </row>
    <row r="23" spans="1:10" x14ac:dyDescent="0.3">
      <c r="A23" t="s">
        <v>70</v>
      </c>
      <c r="B23" t="s">
        <v>71</v>
      </c>
      <c r="C23" t="s">
        <v>12</v>
      </c>
      <c r="D23">
        <v>936</v>
      </c>
      <c r="E23">
        <v>44</v>
      </c>
      <c r="F23" t="s">
        <v>36</v>
      </c>
      <c r="G23" t="s">
        <v>25</v>
      </c>
      <c r="H23" t="s">
        <v>15</v>
      </c>
      <c r="I23">
        <v>0</v>
      </c>
      <c r="J23" t="s">
        <v>16</v>
      </c>
    </row>
    <row r="24" spans="1:10" x14ac:dyDescent="0.3">
      <c r="A24" t="s">
        <v>72</v>
      </c>
      <c r="B24" t="s">
        <v>73</v>
      </c>
      <c r="C24" t="s">
        <v>35</v>
      </c>
      <c r="D24">
        <v>4402.92</v>
      </c>
      <c r="E24">
        <v>46</v>
      </c>
      <c r="F24" t="s">
        <v>24</v>
      </c>
      <c r="G24" t="s">
        <v>58</v>
      </c>
      <c r="H24" t="s">
        <v>15</v>
      </c>
      <c r="I24">
        <v>1</v>
      </c>
      <c r="J24" t="s">
        <v>30</v>
      </c>
    </row>
    <row r="25" spans="1:10" x14ac:dyDescent="0.3">
      <c r="A25" t="s">
        <v>74</v>
      </c>
      <c r="B25" t="s">
        <v>75</v>
      </c>
      <c r="C25" t="s">
        <v>12</v>
      </c>
      <c r="D25">
        <v>874.03</v>
      </c>
      <c r="E25">
        <v>34</v>
      </c>
      <c r="F25" t="s">
        <v>19</v>
      </c>
      <c r="G25" t="s">
        <v>14</v>
      </c>
      <c r="H25" t="s">
        <v>15</v>
      </c>
      <c r="I25">
        <v>0</v>
      </c>
      <c r="J25" t="s">
        <v>16</v>
      </c>
    </row>
    <row r="26" spans="1:10" x14ac:dyDescent="0.3">
      <c r="A26" t="s">
        <v>76</v>
      </c>
      <c r="B26" t="s">
        <v>77</v>
      </c>
      <c r="C26" t="s">
        <v>35</v>
      </c>
      <c r="D26">
        <v>4786.51</v>
      </c>
      <c r="E26">
        <v>11</v>
      </c>
      <c r="F26" t="s">
        <v>24</v>
      </c>
      <c r="G26" t="s">
        <v>58</v>
      </c>
      <c r="H26" t="s">
        <v>15</v>
      </c>
      <c r="I26">
        <v>1</v>
      </c>
      <c r="J26" t="s">
        <v>30</v>
      </c>
    </row>
    <row r="27" spans="1:10" x14ac:dyDescent="0.3">
      <c r="A27" t="s">
        <v>78</v>
      </c>
      <c r="B27" t="s">
        <v>79</v>
      </c>
      <c r="C27" t="s">
        <v>35</v>
      </c>
      <c r="D27">
        <v>4018.72</v>
      </c>
      <c r="E27">
        <v>27</v>
      </c>
      <c r="F27" t="s">
        <v>36</v>
      </c>
      <c r="G27" t="s">
        <v>58</v>
      </c>
      <c r="H27" t="s">
        <v>15</v>
      </c>
      <c r="I27">
        <v>1</v>
      </c>
      <c r="J27" t="s">
        <v>30</v>
      </c>
    </row>
    <row r="28" spans="1:10" x14ac:dyDescent="0.3">
      <c r="A28" t="s">
        <v>80</v>
      </c>
      <c r="B28" t="s">
        <v>81</v>
      </c>
      <c r="C28" t="s">
        <v>28</v>
      </c>
      <c r="D28">
        <v>837.78</v>
      </c>
      <c r="E28">
        <v>40</v>
      </c>
      <c r="F28" t="s">
        <v>36</v>
      </c>
      <c r="G28" t="s">
        <v>46</v>
      </c>
      <c r="H28" t="s">
        <v>15</v>
      </c>
      <c r="I28">
        <v>0</v>
      </c>
      <c r="J28" t="s">
        <v>16</v>
      </c>
    </row>
    <row r="29" spans="1:10" x14ac:dyDescent="0.3">
      <c r="A29" t="s">
        <v>82</v>
      </c>
      <c r="B29" t="s">
        <v>83</v>
      </c>
      <c r="C29" t="s">
        <v>35</v>
      </c>
      <c r="D29">
        <v>1715.11</v>
      </c>
      <c r="E29">
        <v>50</v>
      </c>
      <c r="F29" t="s">
        <v>19</v>
      </c>
      <c r="G29" t="s">
        <v>25</v>
      </c>
      <c r="H29" t="s">
        <v>15</v>
      </c>
      <c r="I29">
        <v>0</v>
      </c>
      <c r="J29" t="s">
        <v>16</v>
      </c>
    </row>
    <row r="30" spans="1:10" x14ac:dyDescent="0.3">
      <c r="A30" t="s">
        <v>84</v>
      </c>
      <c r="B30" t="s">
        <v>85</v>
      </c>
      <c r="C30" t="s">
        <v>28</v>
      </c>
      <c r="D30">
        <v>4514.71</v>
      </c>
      <c r="E30">
        <v>8</v>
      </c>
      <c r="F30" t="s">
        <v>36</v>
      </c>
      <c r="G30" t="s">
        <v>29</v>
      </c>
      <c r="H30" t="s">
        <v>15</v>
      </c>
      <c r="I30">
        <v>0</v>
      </c>
      <c r="J30" t="s">
        <v>16</v>
      </c>
    </row>
    <row r="31" spans="1:10" x14ac:dyDescent="0.3">
      <c r="A31" t="s">
        <v>86</v>
      </c>
      <c r="B31" t="s">
        <v>87</v>
      </c>
      <c r="C31" t="s">
        <v>23</v>
      </c>
      <c r="D31">
        <v>3685.51</v>
      </c>
      <c r="E31">
        <v>50</v>
      </c>
      <c r="F31" t="s">
        <v>36</v>
      </c>
      <c r="G31" t="s">
        <v>46</v>
      </c>
      <c r="H31" t="s">
        <v>15</v>
      </c>
      <c r="I31">
        <v>1</v>
      </c>
      <c r="J31" t="s">
        <v>30</v>
      </c>
    </row>
    <row r="32" spans="1:10" x14ac:dyDescent="0.3">
      <c r="A32" t="s">
        <v>88</v>
      </c>
      <c r="B32" t="s">
        <v>57</v>
      </c>
      <c r="C32" t="s">
        <v>23</v>
      </c>
      <c r="D32">
        <v>4997.0600000000004</v>
      </c>
      <c r="E32">
        <v>48</v>
      </c>
      <c r="F32" t="s">
        <v>24</v>
      </c>
      <c r="G32" t="s">
        <v>20</v>
      </c>
      <c r="H32" t="s">
        <v>15</v>
      </c>
      <c r="I32">
        <v>0</v>
      </c>
      <c r="J32" t="s">
        <v>16</v>
      </c>
    </row>
    <row r="33" spans="1:10" x14ac:dyDescent="0.3">
      <c r="A33" t="s">
        <v>89</v>
      </c>
      <c r="B33" t="s">
        <v>90</v>
      </c>
      <c r="C33" t="s">
        <v>28</v>
      </c>
      <c r="D33">
        <v>291.24</v>
      </c>
      <c r="E33">
        <v>29</v>
      </c>
      <c r="F33" t="s">
        <v>49</v>
      </c>
      <c r="G33" t="s">
        <v>25</v>
      </c>
      <c r="H33" t="s">
        <v>15</v>
      </c>
      <c r="I33">
        <v>0</v>
      </c>
      <c r="J33" t="s">
        <v>16</v>
      </c>
    </row>
    <row r="34" spans="1:10" x14ac:dyDescent="0.3">
      <c r="A34" t="s">
        <v>91</v>
      </c>
      <c r="B34" t="s">
        <v>92</v>
      </c>
      <c r="C34" t="s">
        <v>23</v>
      </c>
      <c r="D34">
        <v>4652.47</v>
      </c>
      <c r="E34">
        <v>26</v>
      </c>
      <c r="F34" t="s">
        <v>19</v>
      </c>
      <c r="G34" t="s">
        <v>46</v>
      </c>
      <c r="H34" t="s">
        <v>15</v>
      </c>
      <c r="I34">
        <v>1</v>
      </c>
      <c r="J34" t="s">
        <v>30</v>
      </c>
    </row>
    <row r="35" spans="1:10" x14ac:dyDescent="0.3">
      <c r="A35" t="s">
        <v>93</v>
      </c>
      <c r="B35" t="s">
        <v>94</v>
      </c>
      <c r="C35" t="s">
        <v>12</v>
      </c>
      <c r="D35">
        <v>574.61</v>
      </c>
      <c r="E35">
        <v>50</v>
      </c>
      <c r="F35" t="s">
        <v>24</v>
      </c>
      <c r="G35" t="s">
        <v>20</v>
      </c>
      <c r="H35" t="s">
        <v>15</v>
      </c>
      <c r="I35">
        <v>0</v>
      </c>
      <c r="J35" t="s">
        <v>16</v>
      </c>
    </row>
    <row r="36" spans="1:10" x14ac:dyDescent="0.3">
      <c r="A36" t="s">
        <v>95</v>
      </c>
      <c r="B36" t="s">
        <v>96</v>
      </c>
      <c r="C36" t="s">
        <v>23</v>
      </c>
      <c r="D36">
        <v>111.25</v>
      </c>
      <c r="E36">
        <v>12</v>
      </c>
      <c r="F36" t="s">
        <v>45</v>
      </c>
      <c r="G36" t="s">
        <v>29</v>
      </c>
      <c r="H36" t="s">
        <v>15</v>
      </c>
      <c r="I36">
        <v>1</v>
      </c>
      <c r="J36" t="s">
        <v>30</v>
      </c>
    </row>
    <row r="37" spans="1:10" x14ac:dyDescent="0.3">
      <c r="A37" t="s">
        <v>97</v>
      </c>
      <c r="B37" t="s">
        <v>98</v>
      </c>
      <c r="C37" t="s">
        <v>28</v>
      </c>
      <c r="D37">
        <v>2129.71</v>
      </c>
      <c r="E37">
        <v>48</v>
      </c>
      <c r="F37" t="s">
        <v>45</v>
      </c>
      <c r="G37" t="s">
        <v>14</v>
      </c>
      <c r="H37" t="s">
        <v>15</v>
      </c>
      <c r="I37">
        <v>1</v>
      </c>
      <c r="J37" t="s">
        <v>30</v>
      </c>
    </row>
    <row r="38" spans="1:10" x14ac:dyDescent="0.3">
      <c r="A38" t="s">
        <v>99</v>
      </c>
      <c r="B38" t="s">
        <v>100</v>
      </c>
      <c r="C38" t="s">
        <v>23</v>
      </c>
      <c r="D38">
        <v>3996.01</v>
      </c>
      <c r="E38">
        <v>29</v>
      </c>
      <c r="F38" t="s">
        <v>36</v>
      </c>
      <c r="G38" t="s">
        <v>20</v>
      </c>
      <c r="H38" t="s">
        <v>15</v>
      </c>
      <c r="I38">
        <v>0</v>
      </c>
      <c r="J38" t="s">
        <v>16</v>
      </c>
    </row>
    <row r="39" spans="1:10" x14ac:dyDescent="0.3">
      <c r="A39" t="s">
        <v>101</v>
      </c>
      <c r="B39" t="s">
        <v>102</v>
      </c>
      <c r="C39" t="s">
        <v>12</v>
      </c>
      <c r="D39">
        <v>2986.49</v>
      </c>
      <c r="E39">
        <v>7</v>
      </c>
      <c r="F39" t="s">
        <v>19</v>
      </c>
      <c r="G39" t="s">
        <v>46</v>
      </c>
      <c r="H39" t="s">
        <v>15</v>
      </c>
      <c r="I39">
        <v>1</v>
      </c>
      <c r="J39" t="s">
        <v>30</v>
      </c>
    </row>
    <row r="40" spans="1:10" x14ac:dyDescent="0.3">
      <c r="A40" t="s">
        <v>103</v>
      </c>
      <c r="B40" t="s">
        <v>104</v>
      </c>
      <c r="C40" t="s">
        <v>12</v>
      </c>
      <c r="D40">
        <v>28.1</v>
      </c>
      <c r="E40">
        <v>1</v>
      </c>
      <c r="F40" t="s">
        <v>36</v>
      </c>
      <c r="G40" t="s">
        <v>29</v>
      </c>
      <c r="H40" t="s">
        <v>15</v>
      </c>
      <c r="I40">
        <v>1</v>
      </c>
      <c r="J40" t="s">
        <v>30</v>
      </c>
    </row>
    <row r="41" spans="1:10" x14ac:dyDescent="0.3">
      <c r="A41" t="s">
        <v>105</v>
      </c>
      <c r="B41" t="s">
        <v>106</v>
      </c>
      <c r="C41" t="s">
        <v>35</v>
      </c>
      <c r="D41">
        <v>4554.3500000000004</v>
      </c>
      <c r="E41">
        <v>24</v>
      </c>
      <c r="F41" t="s">
        <v>19</v>
      </c>
      <c r="G41" t="s">
        <v>25</v>
      </c>
      <c r="H41" t="s">
        <v>15</v>
      </c>
      <c r="I41">
        <v>0</v>
      </c>
      <c r="J41" t="s">
        <v>16</v>
      </c>
    </row>
    <row r="42" spans="1:10" x14ac:dyDescent="0.3">
      <c r="A42" t="s">
        <v>107</v>
      </c>
      <c r="B42" t="s">
        <v>108</v>
      </c>
      <c r="C42" t="s">
        <v>28</v>
      </c>
      <c r="D42">
        <v>2675.93</v>
      </c>
      <c r="E42">
        <v>22</v>
      </c>
      <c r="F42" t="s">
        <v>19</v>
      </c>
      <c r="G42" t="s">
        <v>46</v>
      </c>
      <c r="H42" t="s">
        <v>15</v>
      </c>
      <c r="I42">
        <v>0</v>
      </c>
      <c r="J42" t="s">
        <v>16</v>
      </c>
    </row>
    <row r="43" spans="1:10" x14ac:dyDescent="0.3">
      <c r="A43" t="s">
        <v>109</v>
      </c>
      <c r="B43" t="s">
        <v>110</v>
      </c>
      <c r="C43" t="s">
        <v>12</v>
      </c>
      <c r="D43">
        <v>4806.3100000000004</v>
      </c>
      <c r="E43">
        <v>1</v>
      </c>
      <c r="F43" t="s">
        <v>19</v>
      </c>
      <c r="G43" t="s">
        <v>14</v>
      </c>
      <c r="H43" t="s">
        <v>15</v>
      </c>
      <c r="I43">
        <v>1</v>
      </c>
      <c r="J43" t="s">
        <v>30</v>
      </c>
    </row>
    <row r="44" spans="1:10" x14ac:dyDescent="0.3">
      <c r="A44" t="s">
        <v>111</v>
      </c>
      <c r="B44" t="s">
        <v>112</v>
      </c>
      <c r="C44" t="s">
        <v>28</v>
      </c>
      <c r="D44">
        <v>500.64</v>
      </c>
      <c r="E44">
        <v>24</v>
      </c>
      <c r="F44" t="s">
        <v>45</v>
      </c>
      <c r="G44" t="s">
        <v>14</v>
      </c>
      <c r="H44" t="s">
        <v>15</v>
      </c>
      <c r="I44">
        <v>1</v>
      </c>
      <c r="J44" t="s">
        <v>30</v>
      </c>
    </row>
    <row r="45" spans="1:10" x14ac:dyDescent="0.3">
      <c r="A45" t="s">
        <v>113</v>
      </c>
      <c r="B45" t="s">
        <v>114</v>
      </c>
      <c r="C45" t="s">
        <v>12</v>
      </c>
      <c r="D45">
        <v>2800.24</v>
      </c>
      <c r="E45">
        <v>39</v>
      </c>
      <c r="F45" t="s">
        <v>24</v>
      </c>
      <c r="G45" t="s">
        <v>20</v>
      </c>
      <c r="H45" t="s">
        <v>15</v>
      </c>
      <c r="I45">
        <v>1</v>
      </c>
      <c r="J45" t="s">
        <v>30</v>
      </c>
    </row>
    <row r="46" spans="1:10" x14ac:dyDescent="0.3">
      <c r="A46" t="s">
        <v>115</v>
      </c>
      <c r="B46" t="s">
        <v>116</v>
      </c>
      <c r="C46" t="s">
        <v>23</v>
      </c>
      <c r="D46">
        <v>133.41999999999999</v>
      </c>
      <c r="E46">
        <v>41</v>
      </c>
      <c r="F46" t="s">
        <v>36</v>
      </c>
      <c r="G46" t="s">
        <v>14</v>
      </c>
      <c r="H46" t="s">
        <v>15</v>
      </c>
      <c r="I46">
        <v>1</v>
      </c>
      <c r="J46" t="s">
        <v>30</v>
      </c>
    </row>
    <row r="47" spans="1:10" x14ac:dyDescent="0.3">
      <c r="A47" t="s">
        <v>117</v>
      </c>
      <c r="B47" t="s">
        <v>118</v>
      </c>
      <c r="C47" t="s">
        <v>12</v>
      </c>
      <c r="D47">
        <v>1734.85</v>
      </c>
      <c r="E47">
        <v>46</v>
      </c>
      <c r="F47" t="s">
        <v>36</v>
      </c>
      <c r="G47" t="s">
        <v>58</v>
      </c>
      <c r="H47" t="s">
        <v>15</v>
      </c>
      <c r="I47">
        <v>1</v>
      </c>
      <c r="J47" t="s">
        <v>30</v>
      </c>
    </row>
    <row r="48" spans="1:10" x14ac:dyDescent="0.3">
      <c r="A48" t="s">
        <v>119</v>
      </c>
      <c r="B48" t="s">
        <v>120</v>
      </c>
      <c r="C48" t="s">
        <v>23</v>
      </c>
      <c r="D48">
        <v>299.36</v>
      </c>
      <c r="E48">
        <v>41</v>
      </c>
      <c r="F48" t="s">
        <v>36</v>
      </c>
      <c r="G48" t="s">
        <v>46</v>
      </c>
      <c r="H48" t="s">
        <v>15</v>
      </c>
      <c r="I48">
        <v>1</v>
      </c>
      <c r="J48" t="s">
        <v>30</v>
      </c>
    </row>
    <row r="49" spans="1:10" x14ac:dyDescent="0.3">
      <c r="A49" t="s">
        <v>121</v>
      </c>
      <c r="B49" t="s">
        <v>122</v>
      </c>
      <c r="C49" t="s">
        <v>23</v>
      </c>
      <c r="D49">
        <v>4209.78</v>
      </c>
      <c r="E49">
        <v>2</v>
      </c>
      <c r="F49" t="s">
        <v>45</v>
      </c>
      <c r="G49" t="s">
        <v>29</v>
      </c>
      <c r="H49" t="s">
        <v>15</v>
      </c>
      <c r="I49">
        <v>1</v>
      </c>
      <c r="J49" t="s">
        <v>30</v>
      </c>
    </row>
    <row r="50" spans="1:10" x14ac:dyDescent="0.3">
      <c r="A50" t="s">
        <v>123</v>
      </c>
      <c r="B50" t="s">
        <v>124</v>
      </c>
      <c r="C50" t="s">
        <v>35</v>
      </c>
      <c r="D50">
        <v>2624.33</v>
      </c>
      <c r="E50">
        <v>21</v>
      </c>
      <c r="F50" t="s">
        <v>13</v>
      </c>
      <c r="G50" t="s">
        <v>25</v>
      </c>
      <c r="H50" t="s">
        <v>15</v>
      </c>
      <c r="I50">
        <v>0</v>
      </c>
      <c r="J50" t="s">
        <v>16</v>
      </c>
    </row>
    <row r="51" spans="1:10" x14ac:dyDescent="0.3">
      <c r="A51" t="s">
        <v>125</v>
      </c>
      <c r="B51" t="s">
        <v>126</v>
      </c>
      <c r="C51" t="s">
        <v>35</v>
      </c>
      <c r="D51">
        <v>3616.64</v>
      </c>
      <c r="E51">
        <v>40</v>
      </c>
      <c r="F51" t="s">
        <v>19</v>
      </c>
      <c r="G51" t="s">
        <v>25</v>
      </c>
      <c r="H51" t="s">
        <v>15</v>
      </c>
      <c r="I51">
        <v>1</v>
      </c>
      <c r="J51" t="s">
        <v>30</v>
      </c>
    </row>
    <row r="52" spans="1:10" x14ac:dyDescent="0.3">
      <c r="A52" t="s">
        <v>127</v>
      </c>
      <c r="B52" t="s">
        <v>128</v>
      </c>
      <c r="C52" t="s">
        <v>28</v>
      </c>
      <c r="D52">
        <v>4750.32</v>
      </c>
      <c r="E52">
        <v>27</v>
      </c>
      <c r="F52" t="s">
        <v>24</v>
      </c>
      <c r="G52" t="s">
        <v>14</v>
      </c>
      <c r="H52" t="s">
        <v>15</v>
      </c>
      <c r="I52">
        <v>1</v>
      </c>
      <c r="J52" t="s">
        <v>30</v>
      </c>
    </row>
    <row r="53" spans="1:10" x14ac:dyDescent="0.3">
      <c r="A53" t="s">
        <v>129</v>
      </c>
      <c r="B53" t="s">
        <v>102</v>
      </c>
      <c r="C53" t="s">
        <v>12</v>
      </c>
      <c r="D53">
        <v>81.3</v>
      </c>
      <c r="E53">
        <v>42</v>
      </c>
      <c r="F53" t="s">
        <v>24</v>
      </c>
      <c r="G53" t="s">
        <v>58</v>
      </c>
      <c r="H53" t="s">
        <v>15</v>
      </c>
      <c r="I53">
        <v>1</v>
      </c>
      <c r="J53" t="s">
        <v>30</v>
      </c>
    </row>
    <row r="54" spans="1:10" x14ac:dyDescent="0.3">
      <c r="A54" t="s">
        <v>130</v>
      </c>
      <c r="B54" t="s">
        <v>48</v>
      </c>
      <c r="C54" t="s">
        <v>28</v>
      </c>
      <c r="D54">
        <v>4902.1499999999996</v>
      </c>
      <c r="E54">
        <v>32</v>
      </c>
      <c r="F54" t="s">
        <v>19</v>
      </c>
      <c r="G54" t="s">
        <v>14</v>
      </c>
      <c r="H54" t="s">
        <v>15</v>
      </c>
      <c r="I54">
        <v>0</v>
      </c>
      <c r="J54" t="s">
        <v>16</v>
      </c>
    </row>
    <row r="55" spans="1:10" x14ac:dyDescent="0.3">
      <c r="A55" t="s">
        <v>131</v>
      </c>
      <c r="B55" t="s">
        <v>132</v>
      </c>
      <c r="C55" t="s">
        <v>28</v>
      </c>
      <c r="D55">
        <v>1527.83</v>
      </c>
      <c r="E55">
        <v>22</v>
      </c>
      <c r="F55" t="s">
        <v>13</v>
      </c>
      <c r="G55" t="s">
        <v>20</v>
      </c>
      <c r="H55" t="s">
        <v>15</v>
      </c>
      <c r="I55">
        <v>1</v>
      </c>
      <c r="J55" t="s">
        <v>30</v>
      </c>
    </row>
    <row r="56" spans="1:10" x14ac:dyDescent="0.3">
      <c r="A56" t="s">
        <v>133</v>
      </c>
      <c r="B56" t="s">
        <v>134</v>
      </c>
      <c r="C56" t="s">
        <v>12</v>
      </c>
      <c r="D56">
        <v>3609.61</v>
      </c>
      <c r="E56">
        <v>6</v>
      </c>
      <c r="F56" t="s">
        <v>13</v>
      </c>
      <c r="G56" t="s">
        <v>46</v>
      </c>
      <c r="H56" t="s">
        <v>15</v>
      </c>
      <c r="I56">
        <v>0</v>
      </c>
      <c r="J56" t="s">
        <v>16</v>
      </c>
    </row>
    <row r="57" spans="1:10" x14ac:dyDescent="0.3">
      <c r="A57" t="s">
        <v>135</v>
      </c>
      <c r="B57" t="s">
        <v>18</v>
      </c>
      <c r="C57" t="s">
        <v>23</v>
      </c>
      <c r="D57">
        <v>832.7</v>
      </c>
      <c r="E57">
        <v>41</v>
      </c>
      <c r="F57" t="s">
        <v>49</v>
      </c>
      <c r="G57" t="s">
        <v>25</v>
      </c>
      <c r="H57" t="s">
        <v>15</v>
      </c>
      <c r="I57">
        <v>0</v>
      </c>
      <c r="J57" t="s">
        <v>16</v>
      </c>
    </row>
    <row r="58" spans="1:10" x14ac:dyDescent="0.3">
      <c r="A58" t="s">
        <v>136</v>
      </c>
      <c r="B58" t="s">
        <v>134</v>
      </c>
      <c r="C58" t="s">
        <v>28</v>
      </c>
      <c r="D58">
        <v>976.94</v>
      </c>
      <c r="E58">
        <v>49</v>
      </c>
      <c r="F58" t="s">
        <v>24</v>
      </c>
      <c r="G58" t="s">
        <v>58</v>
      </c>
      <c r="H58" t="s">
        <v>15</v>
      </c>
      <c r="I58">
        <v>1</v>
      </c>
      <c r="J58" t="s">
        <v>30</v>
      </c>
    </row>
    <row r="59" spans="1:10" x14ac:dyDescent="0.3">
      <c r="A59" t="s">
        <v>137</v>
      </c>
      <c r="B59" t="s">
        <v>138</v>
      </c>
      <c r="C59" t="s">
        <v>35</v>
      </c>
      <c r="D59">
        <v>2774.47</v>
      </c>
      <c r="E59">
        <v>6</v>
      </c>
      <c r="F59" t="s">
        <v>36</v>
      </c>
      <c r="G59" t="s">
        <v>20</v>
      </c>
      <c r="H59" t="s">
        <v>15</v>
      </c>
      <c r="I59">
        <v>1</v>
      </c>
      <c r="J59" t="s">
        <v>30</v>
      </c>
    </row>
    <row r="60" spans="1:10" x14ac:dyDescent="0.3">
      <c r="A60" t="s">
        <v>139</v>
      </c>
      <c r="B60" t="s">
        <v>140</v>
      </c>
      <c r="C60" t="s">
        <v>12</v>
      </c>
      <c r="D60">
        <v>1906.68</v>
      </c>
      <c r="E60">
        <v>38</v>
      </c>
      <c r="F60" t="s">
        <v>45</v>
      </c>
      <c r="G60" t="s">
        <v>20</v>
      </c>
      <c r="H60" t="s">
        <v>15</v>
      </c>
      <c r="I60">
        <v>1</v>
      </c>
      <c r="J60" t="s">
        <v>30</v>
      </c>
    </row>
    <row r="61" spans="1:10" x14ac:dyDescent="0.3">
      <c r="A61" t="s">
        <v>129</v>
      </c>
      <c r="B61" t="s">
        <v>141</v>
      </c>
      <c r="C61" t="s">
        <v>23</v>
      </c>
      <c r="D61">
        <v>494.62</v>
      </c>
      <c r="E61">
        <v>31</v>
      </c>
      <c r="F61" t="s">
        <v>13</v>
      </c>
      <c r="G61" t="s">
        <v>29</v>
      </c>
      <c r="H61" t="s">
        <v>15</v>
      </c>
      <c r="I61">
        <v>0</v>
      </c>
      <c r="J61" t="s">
        <v>16</v>
      </c>
    </row>
    <row r="62" spans="1:10" x14ac:dyDescent="0.3">
      <c r="A62" t="s">
        <v>142</v>
      </c>
      <c r="B62" t="s">
        <v>143</v>
      </c>
      <c r="C62" t="s">
        <v>28</v>
      </c>
      <c r="D62">
        <v>2466.7399999999998</v>
      </c>
      <c r="E62">
        <v>30</v>
      </c>
      <c r="F62" t="s">
        <v>45</v>
      </c>
      <c r="G62" t="s">
        <v>29</v>
      </c>
      <c r="H62" t="s">
        <v>15</v>
      </c>
      <c r="I62">
        <v>1</v>
      </c>
      <c r="J62" t="s">
        <v>30</v>
      </c>
    </row>
    <row r="63" spans="1:10" x14ac:dyDescent="0.3">
      <c r="A63" t="s">
        <v>144</v>
      </c>
      <c r="B63" t="s">
        <v>145</v>
      </c>
      <c r="C63" t="s">
        <v>35</v>
      </c>
      <c r="D63">
        <v>3955.61</v>
      </c>
      <c r="E63">
        <v>41</v>
      </c>
      <c r="F63" t="s">
        <v>13</v>
      </c>
      <c r="G63" t="s">
        <v>58</v>
      </c>
      <c r="H63" t="s">
        <v>15</v>
      </c>
      <c r="I63">
        <v>1</v>
      </c>
      <c r="J63" t="s">
        <v>30</v>
      </c>
    </row>
    <row r="64" spans="1:10" x14ac:dyDescent="0.3">
      <c r="A64" t="s">
        <v>74</v>
      </c>
      <c r="B64" t="s">
        <v>146</v>
      </c>
      <c r="C64" t="s">
        <v>23</v>
      </c>
      <c r="D64">
        <v>4741.24</v>
      </c>
      <c r="E64">
        <v>23</v>
      </c>
      <c r="F64" t="s">
        <v>49</v>
      </c>
      <c r="G64" t="s">
        <v>25</v>
      </c>
      <c r="H64" t="s">
        <v>15</v>
      </c>
      <c r="I64">
        <v>1</v>
      </c>
      <c r="J64" t="s">
        <v>30</v>
      </c>
    </row>
    <row r="65" spans="1:10" x14ac:dyDescent="0.3">
      <c r="A65" t="s">
        <v>147</v>
      </c>
      <c r="B65" t="s">
        <v>148</v>
      </c>
      <c r="C65" t="s">
        <v>12</v>
      </c>
      <c r="D65">
        <v>2952.05</v>
      </c>
      <c r="E65">
        <v>24</v>
      </c>
      <c r="F65" t="s">
        <v>49</v>
      </c>
      <c r="G65" t="s">
        <v>29</v>
      </c>
      <c r="H65" t="s">
        <v>15</v>
      </c>
      <c r="I65">
        <v>0</v>
      </c>
      <c r="J65" t="s">
        <v>16</v>
      </c>
    </row>
    <row r="66" spans="1:10" x14ac:dyDescent="0.3">
      <c r="A66" t="s">
        <v>149</v>
      </c>
      <c r="B66" t="s">
        <v>150</v>
      </c>
      <c r="C66" t="s">
        <v>28</v>
      </c>
      <c r="D66">
        <v>1674.73</v>
      </c>
      <c r="E66">
        <v>33</v>
      </c>
      <c r="F66" t="s">
        <v>49</v>
      </c>
      <c r="G66" t="s">
        <v>58</v>
      </c>
      <c r="H66" t="s">
        <v>15</v>
      </c>
      <c r="I66">
        <v>0</v>
      </c>
      <c r="J66" t="s">
        <v>16</v>
      </c>
    </row>
    <row r="67" spans="1:10" x14ac:dyDescent="0.3">
      <c r="A67" t="s">
        <v>151</v>
      </c>
      <c r="B67" t="s">
        <v>152</v>
      </c>
      <c r="C67" t="s">
        <v>28</v>
      </c>
      <c r="D67">
        <v>3819.01</v>
      </c>
      <c r="E67">
        <v>19</v>
      </c>
      <c r="F67" t="s">
        <v>36</v>
      </c>
      <c r="G67" t="s">
        <v>58</v>
      </c>
      <c r="H67" t="s">
        <v>15</v>
      </c>
      <c r="I67">
        <v>1</v>
      </c>
      <c r="J67" t="s">
        <v>30</v>
      </c>
    </row>
    <row r="68" spans="1:10" x14ac:dyDescent="0.3">
      <c r="A68" t="s">
        <v>153</v>
      </c>
      <c r="B68" t="s">
        <v>154</v>
      </c>
      <c r="C68" t="s">
        <v>35</v>
      </c>
      <c r="D68">
        <v>4766.79</v>
      </c>
      <c r="E68">
        <v>31</v>
      </c>
      <c r="F68" t="s">
        <v>36</v>
      </c>
      <c r="G68" t="s">
        <v>14</v>
      </c>
      <c r="H68" t="s">
        <v>15</v>
      </c>
      <c r="I68">
        <v>1</v>
      </c>
      <c r="J68" t="s">
        <v>30</v>
      </c>
    </row>
    <row r="69" spans="1:10" x14ac:dyDescent="0.3">
      <c r="A69" t="s">
        <v>155</v>
      </c>
      <c r="B69" t="s">
        <v>156</v>
      </c>
      <c r="C69" t="s">
        <v>35</v>
      </c>
      <c r="D69">
        <v>2378.0500000000002</v>
      </c>
      <c r="E69">
        <v>3</v>
      </c>
      <c r="F69" t="s">
        <v>45</v>
      </c>
      <c r="G69" t="s">
        <v>29</v>
      </c>
      <c r="H69" t="s">
        <v>15</v>
      </c>
      <c r="I69">
        <v>1</v>
      </c>
      <c r="J69" t="s">
        <v>30</v>
      </c>
    </row>
    <row r="70" spans="1:10" x14ac:dyDescent="0.3">
      <c r="A70" t="s">
        <v>157</v>
      </c>
      <c r="B70" t="s">
        <v>158</v>
      </c>
      <c r="C70" t="s">
        <v>12</v>
      </c>
      <c r="D70">
        <v>3926.65</v>
      </c>
      <c r="E70">
        <v>47</v>
      </c>
      <c r="F70" t="s">
        <v>49</v>
      </c>
      <c r="G70" t="s">
        <v>46</v>
      </c>
      <c r="H70" t="s">
        <v>15</v>
      </c>
      <c r="I70">
        <v>0</v>
      </c>
      <c r="J70" t="s">
        <v>16</v>
      </c>
    </row>
    <row r="71" spans="1:10" x14ac:dyDescent="0.3">
      <c r="A71" t="s">
        <v>159</v>
      </c>
      <c r="B71" t="s">
        <v>160</v>
      </c>
      <c r="C71" t="s">
        <v>23</v>
      </c>
      <c r="D71">
        <v>4999.13</v>
      </c>
      <c r="E71">
        <v>42</v>
      </c>
      <c r="F71" t="s">
        <v>19</v>
      </c>
      <c r="G71" t="s">
        <v>25</v>
      </c>
      <c r="H71" t="s">
        <v>15</v>
      </c>
      <c r="I71">
        <v>1</v>
      </c>
      <c r="J71" t="s">
        <v>30</v>
      </c>
    </row>
    <row r="72" spans="1:10" x14ac:dyDescent="0.3">
      <c r="A72" t="s">
        <v>161</v>
      </c>
      <c r="B72" t="s">
        <v>162</v>
      </c>
      <c r="C72" t="s">
        <v>35</v>
      </c>
      <c r="D72">
        <v>557.27</v>
      </c>
      <c r="E72">
        <v>15</v>
      </c>
      <c r="F72" t="s">
        <v>13</v>
      </c>
      <c r="G72" t="s">
        <v>29</v>
      </c>
      <c r="H72" t="s">
        <v>15</v>
      </c>
      <c r="I72">
        <v>1</v>
      </c>
      <c r="J72" t="s">
        <v>30</v>
      </c>
    </row>
    <row r="73" spans="1:10" x14ac:dyDescent="0.3">
      <c r="A73" t="s">
        <v>163</v>
      </c>
      <c r="B73" t="s">
        <v>164</v>
      </c>
      <c r="C73" t="s">
        <v>28</v>
      </c>
      <c r="D73">
        <v>1376.96</v>
      </c>
      <c r="E73">
        <v>18</v>
      </c>
      <c r="F73" t="s">
        <v>45</v>
      </c>
      <c r="G73" t="s">
        <v>20</v>
      </c>
      <c r="H73" t="s">
        <v>15</v>
      </c>
      <c r="I73">
        <v>1</v>
      </c>
      <c r="J73" t="s">
        <v>30</v>
      </c>
    </row>
    <row r="74" spans="1:10" x14ac:dyDescent="0.3">
      <c r="A74" t="s">
        <v>165</v>
      </c>
      <c r="B74" t="s">
        <v>166</v>
      </c>
      <c r="C74" t="s">
        <v>12</v>
      </c>
      <c r="D74">
        <v>1968.76</v>
      </c>
      <c r="E74">
        <v>30</v>
      </c>
      <c r="F74" t="s">
        <v>13</v>
      </c>
      <c r="G74" t="s">
        <v>14</v>
      </c>
      <c r="H74" t="s">
        <v>15</v>
      </c>
      <c r="I74">
        <v>0</v>
      </c>
      <c r="J74" t="s">
        <v>16</v>
      </c>
    </row>
    <row r="75" spans="1:10" x14ac:dyDescent="0.3">
      <c r="A75" t="s">
        <v>167</v>
      </c>
      <c r="B75" t="s">
        <v>168</v>
      </c>
      <c r="C75" t="s">
        <v>12</v>
      </c>
      <c r="D75">
        <v>4640.4799999999996</v>
      </c>
      <c r="E75">
        <v>33</v>
      </c>
      <c r="F75" t="s">
        <v>45</v>
      </c>
      <c r="G75" t="s">
        <v>25</v>
      </c>
      <c r="H75" t="s">
        <v>15</v>
      </c>
      <c r="I75">
        <v>0</v>
      </c>
      <c r="J75" t="s">
        <v>16</v>
      </c>
    </row>
    <row r="76" spans="1:10" x14ac:dyDescent="0.3">
      <c r="A76" t="s">
        <v>169</v>
      </c>
      <c r="B76" t="s">
        <v>170</v>
      </c>
      <c r="C76" t="s">
        <v>12</v>
      </c>
      <c r="D76">
        <v>2319.9</v>
      </c>
      <c r="E76">
        <v>10</v>
      </c>
      <c r="F76" t="s">
        <v>36</v>
      </c>
      <c r="G76" t="s">
        <v>46</v>
      </c>
      <c r="H76" t="s">
        <v>15</v>
      </c>
      <c r="I76">
        <v>0</v>
      </c>
      <c r="J76" t="s">
        <v>16</v>
      </c>
    </row>
    <row r="77" spans="1:10" x14ac:dyDescent="0.3">
      <c r="A77" t="s">
        <v>171</v>
      </c>
      <c r="B77" t="s">
        <v>172</v>
      </c>
      <c r="C77" t="s">
        <v>23</v>
      </c>
      <c r="D77">
        <v>166.39</v>
      </c>
      <c r="E77">
        <v>29</v>
      </c>
      <c r="F77" t="s">
        <v>49</v>
      </c>
      <c r="G77" t="s">
        <v>58</v>
      </c>
      <c r="H77" t="s">
        <v>15</v>
      </c>
      <c r="I77">
        <v>1</v>
      </c>
      <c r="J77" t="s">
        <v>30</v>
      </c>
    </row>
    <row r="78" spans="1:10" x14ac:dyDescent="0.3">
      <c r="A78" t="s">
        <v>173</v>
      </c>
      <c r="B78" t="s">
        <v>174</v>
      </c>
      <c r="C78" t="s">
        <v>12</v>
      </c>
      <c r="D78">
        <v>4637.26</v>
      </c>
      <c r="E78">
        <v>1</v>
      </c>
      <c r="F78" t="s">
        <v>45</v>
      </c>
      <c r="G78" t="s">
        <v>29</v>
      </c>
      <c r="H78" t="s">
        <v>15</v>
      </c>
      <c r="I78">
        <v>1</v>
      </c>
      <c r="J78" t="s">
        <v>30</v>
      </c>
    </row>
    <row r="79" spans="1:10" x14ac:dyDescent="0.3">
      <c r="A79" t="s">
        <v>175</v>
      </c>
      <c r="B79" t="s">
        <v>176</v>
      </c>
      <c r="C79" t="s">
        <v>23</v>
      </c>
      <c r="D79">
        <v>12.02</v>
      </c>
      <c r="E79">
        <v>8</v>
      </c>
      <c r="F79" t="s">
        <v>45</v>
      </c>
      <c r="G79" t="s">
        <v>25</v>
      </c>
      <c r="H79" t="s">
        <v>15</v>
      </c>
      <c r="I79">
        <v>1</v>
      </c>
      <c r="J79" t="s">
        <v>30</v>
      </c>
    </row>
    <row r="80" spans="1:10" x14ac:dyDescent="0.3">
      <c r="A80" t="s">
        <v>153</v>
      </c>
      <c r="B80" t="s">
        <v>177</v>
      </c>
      <c r="C80" t="s">
        <v>28</v>
      </c>
      <c r="D80">
        <v>2482.65</v>
      </c>
      <c r="E80">
        <v>1</v>
      </c>
      <c r="F80" t="s">
        <v>45</v>
      </c>
      <c r="G80" t="s">
        <v>25</v>
      </c>
      <c r="H80" t="s">
        <v>15</v>
      </c>
      <c r="I80">
        <v>1</v>
      </c>
      <c r="J80" t="s">
        <v>30</v>
      </c>
    </row>
    <row r="81" spans="1:10" x14ac:dyDescent="0.3">
      <c r="A81" t="s">
        <v>178</v>
      </c>
      <c r="B81" t="s">
        <v>179</v>
      </c>
      <c r="C81" t="s">
        <v>35</v>
      </c>
      <c r="D81">
        <v>4175.17</v>
      </c>
      <c r="E81">
        <v>24</v>
      </c>
      <c r="F81" t="s">
        <v>49</v>
      </c>
      <c r="G81" t="s">
        <v>25</v>
      </c>
      <c r="H81" t="s">
        <v>15</v>
      </c>
      <c r="I81">
        <v>0</v>
      </c>
      <c r="J81" t="s">
        <v>16</v>
      </c>
    </row>
    <row r="82" spans="1:10" x14ac:dyDescent="0.3">
      <c r="A82" t="s">
        <v>180</v>
      </c>
      <c r="B82" t="s">
        <v>181</v>
      </c>
      <c r="C82" t="s">
        <v>12</v>
      </c>
      <c r="D82">
        <v>4730.07</v>
      </c>
      <c r="E82">
        <v>2</v>
      </c>
      <c r="F82" t="s">
        <v>49</v>
      </c>
      <c r="G82" t="s">
        <v>29</v>
      </c>
      <c r="H82" t="s">
        <v>15</v>
      </c>
      <c r="I82">
        <v>0</v>
      </c>
      <c r="J82" t="s">
        <v>16</v>
      </c>
    </row>
    <row r="83" spans="1:10" x14ac:dyDescent="0.3">
      <c r="A83" t="s">
        <v>182</v>
      </c>
      <c r="B83" t="s">
        <v>183</v>
      </c>
      <c r="C83" t="s">
        <v>12</v>
      </c>
      <c r="D83">
        <v>3584.09</v>
      </c>
      <c r="E83">
        <v>14</v>
      </c>
      <c r="F83" t="s">
        <v>45</v>
      </c>
      <c r="G83" t="s">
        <v>14</v>
      </c>
      <c r="H83" t="s">
        <v>15</v>
      </c>
      <c r="I83">
        <v>1</v>
      </c>
      <c r="J83" t="s">
        <v>30</v>
      </c>
    </row>
    <row r="84" spans="1:10" x14ac:dyDescent="0.3">
      <c r="A84" t="s">
        <v>184</v>
      </c>
      <c r="B84" t="s">
        <v>185</v>
      </c>
      <c r="C84" t="s">
        <v>28</v>
      </c>
      <c r="D84">
        <v>2088.88</v>
      </c>
      <c r="E84">
        <v>50</v>
      </c>
      <c r="F84" t="s">
        <v>13</v>
      </c>
      <c r="G84" t="s">
        <v>14</v>
      </c>
      <c r="H84" t="s">
        <v>15</v>
      </c>
      <c r="I84">
        <v>1</v>
      </c>
      <c r="J84" t="s">
        <v>30</v>
      </c>
    </row>
    <row r="85" spans="1:10" x14ac:dyDescent="0.3">
      <c r="A85" t="s">
        <v>186</v>
      </c>
      <c r="B85" t="s">
        <v>187</v>
      </c>
      <c r="C85" t="s">
        <v>35</v>
      </c>
      <c r="D85">
        <v>2681.05</v>
      </c>
      <c r="E85">
        <v>16</v>
      </c>
      <c r="F85" t="s">
        <v>49</v>
      </c>
      <c r="G85" t="s">
        <v>25</v>
      </c>
      <c r="H85" t="s">
        <v>15</v>
      </c>
      <c r="I85">
        <v>1</v>
      </c>
      <c r="J85" t="s">
        <v>30</v>
      </c>
    </row>
    <row r="86" spans="1:10" x14ac:dyDescent="0.3">
      <c r="A86" t="s">
        <v>142</v>
      </c>
      <c r="B86" t="s">
        <v>188</v>
      </c>
      <c r="C86" t="s">
        <v>35</v>
      </c>
      <c r="D86">
        <v>3775.27</v>
      </c>
      <c r="E86">
        <v>37</v>
      </c>
      <c r="F86" t="s">
        <v>13</v>
      </c>
      <c r="G86" t="s">
        <v>25</v>
      </c>
      <c r="H86" t="s">
        <v>15</v>
      </c>
      <c r="I86">
        <v>0</v>
      </c>
      <c r="J86" t="s">
        <v>16</v>
      </c>
    </row>
    <row r="87" spans="1:10" x14ac:dyDescent="0.3">
      <c r="A87" t="s">
        <v>189</v>
      </c>
      <c r="B87" t="s">
        <v>190</v>
      </c>
      <c r="C87" t="s">
        <v>12</v>
      </c>
      <c r="D87">
        <v>4543.13</v>
      </c>
      <c r="E87">
        <v>13</v>
      </c>
      <c r="F87" t="s">
        <v>24</v>
      </c>
      <c r="G87" t="s">
        <v>58</v>
      </c>
      <c r="H87" t="s">
        <v>15</v>
      </c>
      <c r="I87">
        <v>1</v>
      </c>
      <c r="J87" t="s">
        <v>30</v>
      </c>
    </row>
    <row r="88" spans="1:10" x14ac:dyDescent="0.3">
      <c r="A88" t="s">
        <v>191</v>
      </c>
      <c r="B88" t="s">
        <v>192</v>
      </c>
      <c r="C88" t="s">
        <v>12</v>
      </c>
      <c r="D88">
        <v>44.68</v>
      </c>
      <c r="E88">
        <v>28</v>
      </c>
      <c r="F88" t="s">
        <v>24</v>
      </c>
      <c r="G88" t="s">
        <v>25</v>
      </c>
      <c r="H88" t="s">
        <v>15</v>
      </c>
      <c r="I88">
        <v>1</v>
      </c>
      <c r="J88" t="s">
        <v>30</v>
      </c>
    </row>
    <row r="89" spans="1:10" x14ac:dyDescent="0.3">
      <c r="A89" t="s">
        <v>167</v>
      </c>
      <c r="B89" t="s">
        <v>193</v>
      </c>
      <c r="C89" t="s">
        <v>28</v>
      </c>
      <c r="D89">
        <v>4732.26</v>
      </c>
      <c r="E89">
        <v>9</v>
      </c>
      <c r="F89" t="s">
        <v>24</v>
      </c>
      <c r="G89" t="s">
        <v>29</v>
      </c>
      <c r="H89" t="s">
        <v>15</v>
      </c>
      <c r="I89">
        <v>1</v>
      </c>
      <c r="J89" t="s">
        <v>30</v>
      </c>
    </row>
    <row r="90" spans="1:10" x14ac:dyDescent="0.3">
      <c r="A90" t="s">
        <v>194</v>
      </c>
      <c r="B90" t="s">
        <v>195</v>
      </c>
      <c r="C90" t="s">
        <v>28</v>
      </c>
      <c r="D90">
        <v>2721.39</v>
      </c>
      <c r="E90">
        <v>20</v>
      </c>
      <c r="F90" t="s">
        <v>19</v>
      </c>
      <c r="G90" t="s">
        <v>14</v>
      </c>
      <c r="H90" t="s">
        <v>15</v>
      </c>
      <c r="I90">
        <v>1</v>
      </c>
      <c r="J90" t="s">
        <v>30</v>
      </c>
    </row>
    <row r="91" spans="1:10" x14ac:dyDescent="0.3">
      <c r="A91" t="s">
        <v>196</v>
      </c>
      <c r="B91" t="s">
        <v>197</v>
      </c>
      <c r="C91" t="s">
        <v>35</v>
      </c>
      <c r="D91">
        <v>3019.01</v>
      </c>
      <c r="E91">
        <v>8</v>
      </c>
      <c r="F91" t="s">
        <v>49</v>
      </c>
      <c r="G91" t="s">
        <v>29</v>
      </c>
      <c r="H91" t="s">
        <v>15</v>
      </c>
      <c r="I91">
        <v>0</v>
      </c>
      <c r="J91" t="s">
        <v>16</v>
      </c>
    </row>
    <row r="92" spans="1:10" x14ac:dyDescent="0.3">
      <c r="A92" t="s">
        <v>198</v>
      </c>
      <c r="B92" t="s">
        <v>199</v>
      </c>
      <c r="C92" t="s">
        <v>35</v>
      </c>
      <c r="D92">
        <v>4954.18</v>
      </c>
      <c r="E92">
        <v>17</v>
      </c>
      <c r="F92" t="s">
        <v>19</v>
      </c>
      <c r="G92" t="s">
        <v>14</v>
      </c>
      <c r="H92" t="s">
        <v>15</v>
      </c>
      <c r="I92">
        <v>0</v>
      </c>
      <c r="J92" t="s">
        <v>16</v>
      </c>
    </row>
    <row r="93" spans="1:10" x14ac:dyDescent="0.3">
      <c r="A93" t="s">
        <v>200</v>
      </c>
      <c r="B93" t="s">
        <v>201</v>
      </c>
      <c r="C93" t="s">
        <v>12</v>
      </c>
      <c r="D93">
        <v>3987.29</v>
      </c>
      <c r="E93">
        <v>8</v>
      </c>
      <c r="F93" t="s">
        <v>45</v>
      </c>
      <c r="G93" t="s">
        <v>58</v>
      </c>
      <c r="H93" t="s">
        <v>15</v>
      </c>
      <c r="I93">
        <v>1</v>
      </c>
      <c r="J93" t="s">
        <v>30</v>
      </c>
    </row>
    <row r="94" spans="1:10" x14ac:dyDescent="0.3">
      <c r="A94" t="s">
        <v>202</v>
      </c>
      <c r="B94" t="s">
        <v>203</v>
      </c>
      <c r="C94" t="s">
        <v>28</v>
      </c>
      <c r="D94">
        <v>2078.2600000000002</v>
      </c>
      <c r="E94">
        <v>46</v>
      </c>
      <c r="F94" t="s">
        <v>19</v>
      </c>
      <c r="G94" t="s">
        <v>46</v>
      </c>
      <c r="H94" t="s">
        <v>15</v>
      </c>
      <c r="I94">
        <v>0</v>
      </c>
      <c r="J94" t="s">
        <v>16</v>
      </c>
    </row>
    <row r="95" spans="1:10" x14ac:dyDescent="0.3">
      <c r="A95" t="s">
        <v>144</v>
      </c>
      <c r="B95" t="s">
        <v>204</v>
      </c>
      <c r="C95" t="s">
        <v>23</v>
      </c>
      <c r="D95">
        <v>3921.85</v>
      </c>
      <c r="E95">
        <v>11</v>
      </c>
      <c r="F95" t="s">
        <v>19</v>
      </c>
      <c r="G95" t="s">
        <v>14</v>
      </c>
      <c r="H95" t="s">
        <v>15</v>
      </c>
      <c r="I95">
        <v>0</v>
      </c>
      <c r="J95" t="s">
        <v>16</v>
      </c>
    </row>
    <row r="96" spans="1:10" x14ac:dyDescent="0.3">
      <c r="A96" t="s">
        <v>205</v>
      </c>
      <c r="B96" t="s">
        <v>206</v>
      </c>
      <c r="C96" t="s">
        <v>12</v>
      </c>
      <c r="D96">
        <v>1422.5</v>
      </c>
      <c r="E96">
        <v>18</v>
      </c>
      <c r="F96" t="s">
        <v>45</v>
      </c>
      <c r="G96" t="s">
        <v>29</v>
      </c>
      <c r="H96" t="s">
        <v>15</v>
      </c>
      <c r="I96">
        <v>1</v>
      </c>
      <c r="J96" t="s">
        <v>30</v>
      </c>
    </row>
    <row r="97" spans="1:10" x14ac:dyDescent="0.3">
      <c r="A97" t="s">
        <v>194</v>
      </c>
      <c r="B97" t="s">
        <v>207</v>
      </c>
      <c r="C97" t="s">
        <v>35</v>
      </c>
      <c r="D97">
        <v>243.05</v>
      </c>
      <c r="E97">
        <v>30</v>
      </c>
      <c r="F97" t="s">
        <v>13</v>
      </c>
      <c r="G97" t="s">
        <v>46</v>
      </c>
      <c r="H97" t="s">
        <v>15</v>
      </c>
      <c r="I97">
        <v>1</v>
      </c>
      <c r="J97" t="s">
        <v>30</v>
      </c>
    </row>
    <row r="98" spans="1:10" x14ac:dyDescent="0.3">
      <c r="A98" t="s">
        <v>208</v>
      </c>
      <c r="B98" t="s">
        <v>63</v>
      </c>
      <c r="C98" t="s">
        <v>28</v>
      </c>
      <c r="D98">
        <v>671.76</v>
      </c>
      <c r="E98">
        <v>49</v>
      </c>
      <c r="F98" t="s">
        <v>19</v>
      </c>
      <c r="G98" t="s">
        <v>25</v>
      </c>
      <c r="H98" t="s">
        <v>15</v>
      </c>
      <c r="I98">
        <v>0</v>
      </c>
      <c r="J98" t="s">
        <v>16</v>
      </c>
    </row>
    <row r="99" spans="1:10" x14ac:dyDescent="0.3">
      <c r="A99" t="s">
        <v>209</v>
      </c>
      <c r="B99" t="s">
        <v>210</v>
      </c>
      <c r="C99" t="s">
        <v>23</v>
      </c>
      <c r="D99">
        <v>4260.47</v>
      </c>
      <c r="E99">
        <v>17</v>
      </c>
      <c r="F99" t="s">
        <v>45</v>
      </c>
      <c r="G99" t="s">
        <v>29</v>
      </c>
      <c r="H99" t="s">
        <v>15</v>
      </c>
      <c r="I99">
        <v>0</v>
      </c>
      <c r="J99" t="s">
        <v>16</v>
      </c>
    </row>
    <row r="100" spans="1:10" x14ac:dyDescent="0.3">
      <c r="A100" t="s">
        <v>84</v>
      </c>
      <c r="B100" t="s">
        <v>211</v>
      </c>
      <c r="C100" t="s">
        <v>35</v>
      </c>
      <c r="D100">
        <v>3168.73</v>
      </c>
      <c r="E100">
        <v>20</v>
      </c>
      <c r="F100" t="s">
        <v>45</v>
      </c>
      <c r="G100" t="s">
        <v>25</v>
      </c>
      <c r="H100" t="s">
        <v>15</v>
      </c>
      <c r="I100">
        <v>0</v>
      </c>
      <c r="J100" t="s">
        <v>16</v>
      </c>
    </row>
    <row r="101" spans="1:10" x14ac:dyDescent="0.3">
      <c r="A101" t="s">
        <v>212</v>
      </c>
      <c r="B101" t="s">
        <v>213</v>
      </c>
      <c r="C101" t="s">
        <v>28</v>
      </c>
      <c r="D101">
        <v>4788.6499999999996</v>
      </c>
      <c r="E101">
        <v>22</v>
      </c>
      <c r="F101" t="s">
        <v>19</v>
      </c>
      <c r="G101" t="s">
        <v>58</v>
      </c>
      <c r="H101" t="s">
        <v>15</v>
      </c>
      <c r="I101">
        <v>1</v>
      </c>
      <c r="J101" t="s">
        <v>30</v>
      </c>
    </row>
    <row r="102" spans="1:10" x14ac:dyDescent="0.3">
      <c r="A102" t="s">
        <v>214</v>
      </c>
      <c r="B102" t="s">
        <v>215</v>
      </c>
      <c r="C102" t="s">
        <v>12</v>
      </c>
      <c r="D102">
        <v>659.09</v>
      </c>
      <c r="E102">
        <v>34</v>
      </c>
      <c r="F102" t="s">
        <v>36</v>
      </c>
      <c r="G102" t="s">
        <v>25</v>
      </c>
      <c r="H102" t="s">
        <v>15</v>
      </c>
      <c r="I102">
        <v>1</v>
      </c>
      <c r="J102" t="s">
        <v>30</v>
      </c>
    </row>
    <row r="103" spans="1:10" x14ac:dyDescent="0.3">
      <c r="A103" t="s">
        <v>216</v>
      </c>
      <c r="B103" t="s">
        <v>217</v>
      </c>
      <c r="C103" t="s">
        <v>28</v>
      </c>
      <c r="D103">
        <v>4439.8500000000004</v>
      </c>
      <c r="E103">
        <v>50</v>
      </c>
      <c r="F103" t="s">
        <v>13</v>
      </c>
      <c r="G103" t="s">
        <v>46</v>
      </c>
      <c r="H103" t="s">
        <v>15</v>
      </c>
      <c r="I103">
        <v>1</v>
      </c>
      <c r="J103" t="s">
        <v>30</v>
      </c>
    </row>
    <row r="104" spans="1:10" x14ac:dyDescent="0.3">
      <c r="A104" t="s">
        <v>218</v>
      </c>
      <c r="B104" t="s">
        <v>219</v>
      </c>
      <c r="C104" t="s">
        <v>35</v>
      </c>
      <c r="D104">
        <v>3612.97</v>
      </c>
      <c r="E104">
        <v>25</v>
      </c>
      <c r="F104" t="s">
        <v>13</v>
      </c>
      <c r="G104" t="s">
        <v>58</v>
      </c>
      <c r="H104" t="s">
        <v>15</v>
      </c>
      <c r="I104">
        <v>1</v>
      </c>
      <c r="J104" t="s">
        <v>30</v>
      </c>
    </row>
    <row r="105" spans="1:10" x14ac:dyDescent="0.3">
      <c r="A105" t="s">
        <v>220</v>
      </c>
      <c r="B105" t="s">
        <v>104</v>
      </c>
      <c r="C105" t="s">
        <v>12</v>
      </c>
      <c r="D105">
        <v>4799.1899999999996</v>
      </c>
      <c r="E105">
        <v>44</v>
      </c>
      <c r="F105" t="s">
        <v>24</v>
      </c>
      <c r="G105" t="s">
        <v>20</v>
      </c>
      <c r="H105" t="s">
        <v>15</v>
      </c>
      <c r="I105">
        <v>0</v>
      </c>
      <c r="J105" t="s">
        <v>16</v>
      </c>
    </row>
    <row r="106" spans="1:10" x14ac:dyDescent="0.3">
      <c r="A106" t="s">
        <v>221</v>
      </c>
      <c r="B106" t="s">
        <v>222</v>
      </c>
      <c r="C106" t="s">
        <v>35</v>
      </c>
      <c r="D106">
        <v>3235.91</v>
      </c>
      <c r="E106">
        <v>19</v>
      </c>
      <c r="F106" t="s">
        <v>36</v>
      </c>
      <c r="G106" t="s">
        <v>14</v>
      </c>
      <c r="H106" t="s">
        <v>15</v>
      </c>
      <c r="I106">
        <v>0</v>
      </c>
      <c r="J106" t="s">
        <v>16</v>
      </c>
    </row>
    <row r="107" spans="1:10" x14ac:dyDescent="0.3">
      <c r="A107" t="s">
        <v>223</v>
      </c>
      <c r="B107" t="s">
        <v>90</v>
      </c>
      <c r="C107" t="s">
        <v>28</v>
      </c>
      <c r="D107">
        <v>2325.13</v>
      </c>
      <c r="E107">
        <v>5</v>
      </c>
      <c r="F107" t="s">
        <v>49</v>
      </c>
      <c r="G107" t="s">
        <v>25</v>
      </c>
      <c r="H107" t="s">
        <v>15</v>
      </c>
      <c r="I107">
        <v>0</v>
      </c>
      <c r="J107" t="s">
        <v>16</v>
      </c>
    </row>
    <row r="108" spans="1:10" x14ac:dyDescent="0.3">
      <c r="A108" t="s">
        <v>224</v>
      </c>
      <c r="B108" t="s">
        <v>225</v>
      </c>
      <c r="C108" t="s">
        <v>12</v>
      </c>
      <c r="D108">
        <v>1662.17</v>
      </c>
      <c r="E108">
        <v>16</v>
      </c>
      <c r="F108" t="s">
        <v>49</v>
      </c>
      <c r="G108" t="s">
        <v>25</v>
      </c>
      <c r="H108" t="s">
        <v>15</v>
      </c>
      <c r="I108">
        <v>1</v>
      </c>
      <c r="J108" t="s">
        <v>30</v>
      </c>
    </row>
    <row r="109" spans="1:10" x14ac:dyDescent="0.3">
      <c r="A109" t="s">
        <v>226</v>
      </c>
      <c r="B109" t="s">
        <v>227</v>
      </c>
      <c r="C109" t="s">
        <v>12</v>
      </c>
      <c r="D109">
        <v>4708.1099999999997</v>
      </c>
      <c r="E109">
        <v>30</v>
      </c>
      <c r="F109" t="s">
        <v>49</v>
      </c>
      <c r="G109" t="s">
        <v>20</v>
      </c>
      <c r="H109" t="s">
        <v>15</v>
      </c>
      <c r="I109">
        <v>1</v>
      </c>
      <c r="J109" t="s">
        <v>30</v>
      </c>
    </row>
    <row r="110" spans="1:10" x14ac:dyDescent="0.3">
      <c r="A110" t="s">
        <v>228</v>
      </c>
      <c r="B110" t="s">
        <v>229</v>
      </c>
      <c r="C110" t="s">
        <v>23</v>
      </c>
      <c r="D110">
        <v>909.88</v>
      </c>
      <c r="E110">
        <v>42</v>
      </c>
      <c r="F110" t="s">
        <v>24</v>
      </c>
      <c r="G110" t="s">
        <v>14</v>
      </c>
      <c r="H110" t="s">
        <v>15</v>
      </c>
      <c r="I110">
        <v>0</v>
      </c>
      <c r="J110" t="s">
        <v>16</v>
      </c>
    </row>
    <row r="111" spans="1:10" x14ac:dyDescent="0.3">
      <c r="A111" t="s">
        <v>230</v>
      </c>
      <c r="B111" t="s">
        <v>231</v>
      </c>
      <c r="C111" t="s">
        <v>12</v>
      </c>
      <c r="D111">
        <v>2628.39</v>
      </c>
      <c r="E111">
        <v>44</v>
      </c>
      <c r="F111" t="s">
        <v>36</v>
      </c>
      <c r="G111" t="s">
        <v>25</v>
      </c>
      <c r="H111" t="s">
        <v>15</v>
      </c>
      <c r="I111">
        <v>1</v>
      </c>
      <c r="J111" t="s">
        <v>30</v>
      </c>
    </row>
    <row r="112" spans="1:10" x14ac:dyDescent="0.3">
      <c r="A112" t="s">
        <v>144</v>
      </c>
      <c r="B112" t="s">
        <v>232</v>
      </c>
      <c r="C112" t="s">
        <v>28</v>
      </c>
      <c r="D112">
        <v>2679.65</v>
      </c>
      <c r="E112">
        <v>3</v>
      </c>
      <c r="F112" t="s">
        <v>49</v>
      </c>
      <c r="G112" t="s">
        <v>46</v>
      </c>
      <c r="H112" t="s">
        <v>15</v>
      </c>
      <c r="I112">
        <v>1</v>
      </c>
      <c r="J112" t="s">
        <v>30</v>
      </c>
    </row>
    <row r="113" spans="1:10" x14ac:dyDescent="0.3">
      <c r="A113" t="s">
        <v>130</v>
      </c>
      <c r="B113" t="s">
        <v>233</v>
      </c>
      <c r="C113" t="s">
        <v>12</v>
      </c>
      <c r="D113">
        <v>2582.9899999999998</v>
      </c>
      <c r="E113">
        <v>46</v>
      </c>
      <c r="F113" t="s">
        <v>13</v>
      </c>
      <c r="G113" t="s">
        <v>58</v>
      </c>
      <c r="H113" t="s">
        <v>15</v>
      </c>
      <c r="I113">
        <v>1</v>
      </c>
      <c r="J113" t="s">
        <v>30</v>
      </c>
    </row>
    <row r="114" spans="1:10" x14ac:dyDescent="0.3">
      <c r="A114" t="s">
        <v>234</v>
      </c>
      <c r="B114" t="s">
        <v>235</v>
      </c>
      <c r="C114" t="s">
        <v>23</v>
      </c>
      <c r="D114">
        <v>4931.87</v>
      </c>
      <c r="E114">
        <v>45</v>
      </c>
      <c r="F114" t="s">
        <v>45</v>
      </c>
      <c r="G114" t="s">
        <v>46</v>
      </c>
      <c r="H114" t="s">
        <v>15</v>
      </c>
      <c r="I114">
        <v>0</v>
      </c>
      <c r="J114" t="s">
        <v>16</v>
      </c>
    </row>
    <row r="115" spans="1:10" x14ac:dyDescent="0.3">
      <c r="A115" t="s">
        <v>236</v>
      </c>
      <c r="B115" t="s">
        <v>237</v>
      </c>
      <c r="C115" t="s">
        <v>23</v>
      </c>
      <c r="D115">
        <v>363.32</v>
      </c>
      <c r="E115">
        <v>46</v>
      </c>
      <c r="F115" t="s">
        <v>49</v>
      </c>
      <c r="G115" t="s">
        <v>20</v>
      </c>
      <c r="H115" t="s">
        <v>15</v>
      </c>
      <c r="I115">
        <v>1</v>
      </c>
      <c r="J115" t="s">
        <v>30</v>
      </c>
    </row>
    <row r="116" spans="1:10" x14ac:dyDescent="0.3">
      <c r="A116" t="s">
        <v>238</v>
      </c>
      <c r="B116" t="s">
        <v>239</v>
      </c>
      <c r="C116" t="s">
        <v>12</v>
      </c>
      <c r="D116">
        <v>2409.91</v>
      </c>
      <c r="E116">
        <v>46</v>
      </c>
      <c r="F116" t="s">
        <v>49</v>
      </c>
      <c r="G116" t="s">
        <v>20</v>
      </c>
      <c r="H116" t="s">
        <v>15</v>
      </c>
      <c r="I116">
        <v>1</v>
      </c>
      <c r="J116" t="s">
        <v>30</v>
      </c>
    </row>
    <row r="117" spans="1:10" x14ac:dyDescent="0.3">
      <c r="A117" t="s">
        <v>240</v>
      </c>
      <c r="B117" t="s">
        <v>241</v>
      </c>
      <c r="C117" t="s">
        <v>12</v>
      </c>
      <c r="D117">
        <v>1702.81</v>
      </c>
      <c r="E117">
        <v>35</v>
      </c>
      <c r="F117" t="s">
        <v>19</v>
      </c>
      <c r="G117" t="s">
        <v>14</v>
      </c>
      <c r="H117" t="s">
        <v>15</v>
      </c>
      <c r="I117">
        <v>0</v>
      </c>
      <c r="J117" t="s">
        <v>16</v>
      </c>
    </row>
    <row r="118" spans="1:10" x14ac:dyDescent="0.3">
      <c r="A118" t="s">
        <v>242</v>
      </c>
      <c r="B118" t="s">
        <v>243</v>
      </c>
      <c r="C118" t="s">
        <v>28</v>
      </c>
      <c r="D118">
        <v>1205.8699999999999</v>
      </c>
      <c r="E118">
        <v>15</v>
      </c>
      <c r="F118" t="s">
        <v>19</v>
      </c>
      <c r="G118" t="s">
        <v>46</v>
      </c>
      <c r="H118" t="s">
        <v>15</v>
      </c>
      <c r="I118">
        <v>0</v>
      </c>
      <c r="J118" t="s">
        <v>16</v>
      </c>
    </row>
    <row r="119" spans="1:10" x14ac:dyDescent="0.3">
      <c r="A119" t="s">
        <v>244</v>
      </c>
      <c r="B119" t="s">
        <v>71</v>
      </c>
      <c r="C119" t="s">
        <v>12</v>
      </c>
      <c r="D119">
        <v>3331.53</v>
      </c>
      <c r="E119">
        <v>9</v>
      </c>
      <c r="F119" t="s">
        <v>36</v>
      </c>
      <c r="G119" t="s">
        <v>14</v>
      </c>
      <c r="H119" t="s">
        <v>15</v>
      </c>
      <c r="I119">
        <v>0</v>
      </c>
      <c r="J119" t="s">
        <v>16</v>
      </c>
    </row>
    <row r="120" spans="1:10" x14ac:dyDescent="0.3">
      <c r="A120" t="s">
        <v>245</v>
      </c>
      <c r="B120" t="s">
        <v>246</v>
      </c>
      <c r="C120" t="s">
        <v>28</v>
      </c>
      <c r="D120">
        <v>2250.66</v>
      </c>
      <c r="E120">
        <v>32</v>
      </c>
      <c r="F120" t="s">
        <v>45</v>
      </c>
      <c r="G120" t="s">
        <v>58</v>
      </c>
      <c r="H120" t="s">
        <v>15</v>
      </c>
      <c r="I120">
        <v>1</v>
      </c>
      <c r="J120" t="s">
        <v>30</v>
      </c>
    </row>
    <row r="121" spans="1:10" x14ac:dyDescent="0.3">
      <c r="A121" t="s">
        <v>247</v>
      </c>
      <c r="B121" t="s">
        <v>248</v>
      </c>
      <c r="C121" t="s">
        <v>23</v>
      </c>
      <c r="D121">
        <v>4653.28</v>
      </c>
      <c r="E121">
        <v>5</v>
      </c>
      <c r="F121" t="s">
        <v>36</v>
      </c>
      <c r="G121" t="s">
        <v>20</v>
      </c>
      <c r="H121" t="s">
        <v>15</v>
      </c>
      <c r="I121">
        <v>0</v>
      </c>
      <c r="J121" t="s">
        <v>16</v>
      </c>
    </row>
    <row r="122" spans="1:10" x14ac:dyDescent="0.3">
      <c r="A122" t="s">
        <v>249</v>
      </c>
      <c r="B122" t="s">
        <v>250</v>
      </c>
      <c r="C122" t="s">
        <v>23</v>
      </c>
      <c r="D122">
        <v>1869.6</v>
      </c>
      <c r="E122">
        <v>4</v>
      </c>
      <c r="F122" t="s">
        <v>13</v>
      </c>
      <c r="G122" t="s">
        <v>46</v>
      </c>
      <c r="H122" t="s">
        <v>15</v>
      </c>
      <c r="I122">
        <v>1</v>
      </c>
      <c r="J122" t="s">
        <v>30</v>
      </c>
    </row>
    <row r="123" spans="1:10" x14ac:dyDescent="0.3">
      <c r="A123" t="s">
        <v>251</v>
      </c>
      <c r="B123" t="s">
        <v>154</v>
      </c>
      <c r="C123" t="s">
        <v>28</v>
      </c>
      <c r="D123">
        <v>843.25</v>
      </c>
      <c r="E123">
        <v>44</v>
      </c>
      <c r="F123" t="s">
        <v>36</v>
      </c>
      <c r="G123" t="s">
        <v>46</v>
      </c>
      <c r="H123" t="s">
        <v>15</v>
      </c>
      <c r="I123">
        <v>1</v>
      </c>
      <c r="J123" t="s">
        <v>30</v>
      </c>
    </row>
    <row r="124" spans="1:10" x14ac:dyDescent="0.3">
      <c r="A124" t="s">
        <v>252</v>
      </c>
      <c r="B124" t="s">
        <v>253</v>
      </c>
      <c r="C124" t="s">
        <v>12</v>
      </c>
      <c r="D124">
        <v>2315.08</v>
      </c>
      <c r="E124">
        <v>30</v>
      </c>
      <c r="F124" t="s">
        <v>36</v>
      </c>
      <c r="G124" t="s">
        <v>25</v>
      </c>
      <c r="H124" t="s">
        <v>15</v>
      </c>
      <c r="I124">
        <v>0</v>
      </c>
      <c r="J124" t="s">
        <v>16</v>
      </c>
    </row>
    <row r="125" spans="1:10" x14ac:dyDescent="0.3">
      <c r="A125" t="s">
        <v>254</v>
      </c>
      <c r="B125" t="s">
        <v>22</v>
      </c>
      <c r="C125" t="s">
        <v>12</v>
      </c>
      <c r="D125">
        <v>1910.69</v>
      </c>
      <c r="E125">
        <v>46</v>
      </c>
      <c r="F125" t="s">
        <v>36</v>
      </c>
      <c r="G125" t="s">
        <v>58</v>
      </c>
      <c r="H125" t="s">
        <v>15</v>
      </c>
      <c r="I125">
        <v>1</v>
      </c>
      <c r="J125" t="s">
        <v>30</v>
      </c>
    </row>
    <row r="126" spans="1:10" x14ac:dyDescent="0.3">
      <c r="A126" t="s">
        <v>255</v>
      </c>
      <c r="B126" t="s">
        <v>256</v>
      </c>
      <c r="C126" t="s">
        <v>23</v>
      </c>
      <c r="D126">
        <v>338.22</v>
      </c>
      <c r="E126">
        <v>6</v>
      </c>
      <c r="F126" t="s">
        <v>49</v>
      </c>
      <c r="G126" t="s">
        <v>14</v>
      </c>
      <c r="H126" t="s">
        <v>15</v>
      </c>
      <c r="I126">
        <v>1</v>
      </c>
      <c r="J126" t="s">
        <v>30</v>
      </c>
    </row>
    <row r="127" spans="1:10" x14ac:dyDescent="0.3">
      <c r="A127" t="s">
        <v>62</v>
      </c>
      <c r="B127" t="s">
        <v>257</v>
      </c>
      <c r="C127" t="s">
        <v>23</v>
      </c>
      <c r="D127">
        <v>1951.25</v>
      </c>
      <c r="E127">
        <v>15</v>
      </c>
      <c r="F127" t="s">
        <v>36</v>
      </c>
      <c r="G127" t="s">
        <v>46</v>
      </c>
      <c r="H127" t="s">
        <v>15</v>
      </c>
      <c r="I127">
        <v>0</v>
      </c>
      <c r="J127" t="s">
        <v>16</v>
      </c>
    </row>
    <row r="128" spans="1:10" x14ac:dyDescent="0.3">
      <c r="A128" t="s">
        <v>258</v>
      </c>
      <c r="B128" t="s">
        <v>162</v>
      </c>
      <c r="C128" t="s">
        <v>12</v>
      </c>
      <c r="D128">
        <v>1879.4</v>
      </c>
      <c r="E128">
        <v>37</v>
      </c>
      <c r="F128" t="s">
        <v>36</v>
      </c>
      <c r="G128" t="s">
        <v>46</v>
      </c>
      <c r="H128" t="s">
        <v>15</v>
      </c>
      <c r="I128">
        <v>1</v>
      </c>
      <c r="J128" t="s">
        <v>30</v>
      </c>
    </row>
    <row r="129" spans="1:10" x14ac:dyDescent="0.3">
      <c r="A129" t="s">
        <v>259</v>
      </c>
      <c r="B129" t="s">
        <v>260</v>
      </c>
      <c r="C129" t="s">
        <v>28</v>
      </c>
      <c r="D129">
        <v>4292.45</v>
      </c>
      <c r="E129">
        <v>4</v>
      </c>
      <c r="F129" t="s">
        <v>24</v>
      </c>
      <c r="G129" t="s">
        <v>29</v>
      </c>
      <c r="H129" t="s">
        <v>15</v>
      </c>
      <c r="I129">
        <v>0</v>
      </c>
      <c r="J129" t="s">
        <v>16</v>
      </c>
    </row>
    <row r="130" spans="1:10" x14ac:dyDescent="0.3">
      <c r="A130" t="s">
        <v>254</v>
      </c>
      <c r="B130" t="s">
        <v>261</v>
      </c>
      <c r="C130" t="s">
        <v>28</v>
      </c>
      <c r="D130">
        <v>2706.96</v>
      </c>
      <c r="E130">
        <v>40</v>
      </c>
      <c r="F130" t="s">
        <v>19</v>
      </c>
      <c r="G130" t="s">
        <v>29</v>
      </c>
      <c r="H130" t="s">
        <v>15</v>
      </c>
      <c r="I130">
        <v>1</v>
      </c>
      <c r="J130" t="s">
        <v>30</v>
      </c>
    </row>
    <row r="131" spans="1:10" x14ac:dyDescent="0.3">
      <c r="A131" t="s">
        <v>262</v>
      </c>
      <c r="B131" t="s">
        <v>77</v>
      </c>
      <c r="C131" t="s">
        <v>23</v>
      </c>
      <c r="D131">
        <v>3820.11</v>
      </c>
      <c r="E131">
        <v>7</v>
      </c>
      <c r="F131" t="s">
        <v>45</v>
      </c>
      <c r="G131" t="s">
        <v>58</v>
      </c>
      <c r="H131" t="s">
        <v>15</v>
      </c>
      <c r="I131">
        <v>1</v>
      </c>
      <c r="J131" t="s">
        <v>30</v>
      </c>
    </row>
    <row r="132" spans="1:10" x14ac:dyDescent="0.3">
      <c r="A132" t="s">
        <v>247</v>
      </c>
      <c r="B132" t="s">
        <v>263</v>
      </c>
      <c r="C132" t="s">
        <v>12</v>
      </c>
      <c r="D132">
        <v>4751.93</v>
      </c>
      <c r="E132">
        <v>10</v>
      </c>
      <c r="F132" t="s">
        <v>36</v>
      </c>
      <c r="G132" t="s">
        <v>46</v>
      </c>
      <c r="H132" t="s">
        <v>15</v>
      </c>
      <c r="I132">
        <v>0</v>
      </c>
      <c r="J132" t="s">
        <v>16</v>
      </c>
    </row>
    <row r="133" spans="1:10" x14ac:dyDescent="0.3">
      <c r="A133" t="s">
        <v>264</v>
      </c>
      <c r="B133" t="s">
        <v>265</v>
      </c>
      <c r="C133" t="s">
        <v>23</v>
      </c>
      <c r="D133">
        <v>4880.12</v>
      </c>
      <c r="E133">
        <v>35</v>
      </c>
      <c r="F133" t="s">
        <v>49</v>
      </c>
      <c r="G133" t="s">
        <v>14</v>
      </c>
      <c r="H133" t="s">
        <v>15</v>
      </c>
      <c r="I133">
        <v>1</v>
      </c>
      <c r="J133" t="s">
        <v>30</v>
      </c>
    </row>
    <row r="134" spans="1:10" x14ac:dyDescent="0.3">
      <c r="A134" t="s">
        <v>266</v>
      </c>
      <c r="B134" t="s">
        <v>267</v>
      </c>
      <c r="C134" t="s">
        <v>12</v>
      </c>
      <c r="D134">
        <v>2412.33</v>
      </c>
      <c r="E134">
        <v>45</v>
      </c>
      <c r="F134" t="s">
        <v>45</v>
      </c>
      <c r="G134" t="s">
        <v>25</v>
      </c>
      <c r="H134" t="s">
        <v>15</v>
      </c>
      <c r="I134">
        <v>0</v>
      </c>
      <c r="J134" t="s">
        <v>16</v>
      </c>
    </row>
    <row r="135" spans="1:10" x14ac:dyDescent="0.3">
      <c r="A135" t="s">
        <v>72</v>
      </c>
      <c r="B135" t="s">
        <v>183</v>
      </c>
      <c r="C135" t="s">
        <v>28</v>
      </c>
      <c r="D135">
        <v>1646.58</v>
      </c>
      <c r="E135">
        <v>19</v>
      </c>
      <c r="F135" t="s">
        <v>36</v>
      </c>
      <c r="G135" t="s">
        <v>14</v>
      </c>
      <c r="H135" t="s">
        <v>15</v>
      </c>
      <c r="I135">
        <v>0</v>
      </c>
      <c r="J135" t="s">
        <v>16</v>
      </c>
    </row>
    <row r="136" spans="1:10" x14ac:dyDescent="0.3">
      <c r="A136" t="s">
        <v>268</v>
      </c>
      <c r="B136" t="s">
        <v>120</v>
      </c>
      <c r="C136" t="s">
        <v>28</v>
      </c>
      <c r="D136">
        <v>710.02</v>
      </c>
      <c r="E136">
        <v>14</v>
      </c>
      <c r="F136" t="s">
        <v>36</v>
      </c>
      <c r="G136" t="s">
        <v>25</v>
      </c>
      <c r="H136" t="s">
        <v>15</v>
      </c>
      <c r="I136">
        <v>1</v>
      </c>
      <c r="J136" t="s">
        <v>30</v>
      </c>
    </row>
    <row r="137" spans="1:10" x14ac:dyDescent="0.3">
      <c r="A137" t="s">
        <v>236</v>
      </c>
      <c r="B137" t="s">
        <v>269</v>
      </c>
      <c r="C137" t="s">
        <v>23</v>
      </c>
      <c r="D137">
        <v>3170.17</v>
      </c>
      <c r="E137">
        <v>50</v>
      </c>
      <c r="F137" t="s">
        <v>36</v>
      </c>
      <c r="G137" t="s">
        <v>58</v>
      </c>
      <c r="H137" t="s">
        <v>15</v>
      </c>
      <c r="I137">
        <v>0</v>
      </c>
      <c r="J137" t="s">
        <v>16</v>
      </c>
    </row>
    <row r="138" spans="1:10" x14ac:dyDescent="0.3">
      <c r="A138" t="s">
        <v>43</v>
      </c>
      <c r="B138" t="s">
        <v>270</v>
      </c>
      <c r="C138" t="s">
        <v>35</v>
      </c>
      <c r="D138">
        <v>1394.43</v>
      </c>
      <c r="E138">
        <v>44</v>
      </c>
      <c r="F138" t="s">
        <v>13</v>
      </c>
      <c r="G138" t="s">
        <v>25</v>
      </c>
      <c r="H138" t="s">
        <v>15</v>
      </c>
      <c r="I138">
        <v>1</v>
      </c>
      <c r="J138" t="s">
        <v>30</v>
      </c>
    </row>
    <row r="139" spans="1:10" x14ac:dyDescent="0.3">
      <c r="A139" t="s">
        <v>247</v>
      </c>
      <c r="B139" t="s">
        <v>201</v>
      </c>
      <c r="C139" t="s">
        <v>23</v>
      </c>
      <c r="D139">
        <v>2761.91</v>
      </c>
      <c r="E139">
        <v>21</v>
      </c>
      <c r="F139" t="s">
        <v>49</v>
      </c>
      <c r="G139" t="s">
        <v>25</v>
      </c>
      <c r="H139" t="s">
        <v>15</v>
      </c>
      <c r="I139">
        <v>0</v>
      </c>
      <c r="J139" t="s">
        <v>16</v>
      </c>
    </row>
    <row r="140" spans="1:10" x14ac:dyDescent="0.3">
      <c r="A140" t="s">
        <v>271</v>
      </c>
      <c r="B140" t="s">
        <v>272</v>
      </c>
      <c r="C140" t="s">
        <v>23</v>
      </c>
      <c r="D140">
        <v>1455.71</v>
      </c>
      <c r="E140">
        <v>20</v>
      </c>
      <c r="F140" t="s">
        <v>49</v>
      </c>
      <c r="G140" t="s">
        <v>20</v>
      </c>
      <c r="H140" t="s">
        <v>15</v>
      </c>
      <c r="I140">
        <v>1</v>
      </c>
      <c r="J140" t="s">
        <v>30</v>
      </c>
    </row>
    <row r="141" spans="1:10" x14ac:dyDescent="0.3">
      <c r="A141" t="s">
        <v>111</v>
      </c>
      <c r="B141" t="s">
        <v>102</v>
      </c>
      <c r="C141" t="s">
        <v>35</v>
      </c>
      <c r="D141">
        <v>25.31</v>
      </c>
      <c r="E141">
        <v>10</v>
      </c>
      <c r="F141" t="s">
        <v>36</v>
      </c>
      <c r="G141" t="s">
        <v>14</v>
      </c>
      <c r="H141" t="s">
        <v>15</v>
      </c>
      <c r="I141">
        <v>0</v>
      </c>
      <c r="J141" t="s">
        <v>16</v>
      </c>
    </row>
    <row r="142" spans="1:10" x14ac:dyDescent="0.3">
      <c r="A142" t="s">
        <v>273</v>
      </c>
      <c r="B142" t="s">
        <v>274</v>
      </c>
      <c r="C142" t="s">
        <v>35</v>
      </c>
      <c r="D142">
        <v>3405.72</v>
      </c>
      <c r="E142">
        <v>19</v>
      </c>
      <c r="F142" t="s">
        <v>36</v>
      </c>
      <c r="G142" t="s">
        <v>58</v>
      </c>
      <c r="H142" t="s">
        <v>15</v>
      </c>
      <c r="I142">
        <v>0</v>
      </c>
      <c r="J142" t="s">
        <v>16</v>
      </c>
    </row>
    <row r="143" spans="1:10" x14ac:dyDescent="0.3">
      <c r="A143" t="s">
        <v>275</v>
      </c>
      <c r="B143" t="s">
        <v>276</v>
      </c>
      <c r="C143" t="s">
        <v>23</v>
      </c>
      <c r="D143">
        <v>180.94</v>
      </c>
      <c r="E143">
        <v>4</v>
      </c>
      <c r="F143" t="s">
        <v>36</v>
      </c>
      <c r="G143" t="s">
        <v>25</v>
      </c>
      <c r="H143" t="s">
        <v>15</v>
      </c>
      <c r="I143">
        <v>1</v>
      </c>
      <c r="J143" t="s">
        <v>30</v>
      </c>
    </row>
    <row r="144" spans="1:10" x14ac:dyDescent="0.3">
      <c r="A144" t="s">
        <v>277</v>
      </c>
      <c r="B144" t="s">
        <v>278</v>
      </c>
      <c r="C144" t="s">
        <v>28</v>
      </c>
      <c r="D144">
        <v>785.26</v>
      </c>
      <c r="E144">
        <v>50</v>
      </c>
      <c r="F144" t="s">
        <v>45</v>
      </c>
      <c r="G144" t="s">
        <v>58</v>
      </c>
      <c r="H144" t="s">
        <v>15</v>
      </c>
      <c r="I144">
        <v>0</v>
      </c>
      <c r="J144" t="s">
        <v>16</v>
      </c>
    </row>
    <row r="145" spans="1:10" x14ac:dyDescent="0.3">
      <c r="A145" t="s">
        <v>279</v>
      </c>
      <c r="B145" t="s">
        <v>280</v>
      </c>
      <c r="C145" t="s">
        <v>35</v>
      </c>
      <c r="D145">
        <v>4747.37</v>
      </c>
      <c r="E145">
        <v>14</v>
      </c>
      <c r="F145" t="s">
        <v>13</v>
      </c>
      <c r="G145" t="s">
        <v>58</v>
      </c>
      <c r="H145" t="s">
        <v>15</v>
      </c>
      <c r="I145">
        <v>1</v>
      </c>
      <c r="J145" t="s">
        <v>30</v>
      </c>
    </row>
    <row r="146" spans="1:10" x14ac:dyDescent="0.3">
      <c r="A146" t="s">
        <v>281</v>
      </c>
      <c r="B146" t="s">
        <v>282</v>
      </c>
      <c r="C146" t="s">
        <v>35</v>
      </c>
      <c r="D146">
        <v>2771.38</v>
      </c>
      <c r="E146">
        <v>14</v>
      </c>
      <c r="F146" t="s">
        <v>45</v>
      </c>
      <c r="G146" t="s">
        <v>29</v>
      </c>
      <c r="H146" t="s">
        <v>15</v>
      </c>
      <c r="I146">
        <v>1</v>
      </c>
      <c r="J146" t="s">
        <v>30</v>
      </c>
    </row>
    <row r="147" spans="1:10" x14ac:dyDescent="0.3">
      <c r="A147" t="s">
        <v>283</v>
      </c>
      <c r="B147" t="s">
        <v>284</v>
      </c>
      <c r="C147" t="s">
        <v>35</v>
      </c>
      <c r="D147">
        <v>3321.24</v>
      </c>
      <c r="E147">
        <v>25</v>
      </c>
      <c r="F147" t="s">
        <v>13</v>
      </c>
      <c r="G147" t="s">
        <v>20</v>
      </c>
      <c r="H147" t="s">
        <v>15</v>
      </c>
      <c r="I147">
        <v>0</v>
      </c>
      <c r="J147" t="s">
        <v>16</v>
      </c>
    </row>
    <row r="148" spans="1:10" x14ac:dyDescent="0.3">
      <c r="A148" t="s">
        <v>285</v>
      </c>
      <c r="B148" t="s">
        <v>122</v>
      </c>
      <c r="C148" t="s">
        <v>35</v>
      </c>
      <c r="D148">
        <v>1235.27</v>
      </c>
      <c r="E148">
        <v>14</v>
      </c>
      <c r="F148" t="s">
        <v>13</v>
      </c>
      <c r="G148" t="s">
        <v>14</v>
      </c>
      <c r="H148" t="s">
        <v>15</v>
      </c>
      <c r="I148">
        <v>1</v>
      </c>
      <c r="J148" t="s">
        <v>30</v>
      </c>
    </row>
    <row r="149" spans="1:10" x14ac:dyDescent="0.3">
      <c r="A149" t="s">
        <v>286</v>
      </c>
      <c r="B149" t="s">
        <v>287</v>
      </c>
      <c r="C149" t="s">
        <v>28</v>
      </c>
      <c r="D149">
        <v>4337.6899999999996</v>
      </c>
      <c r="E149">
        <v>5</v>
      </c>
      <c r="F149" t="s">
        <v>36</v>
      </c>
      <c r="G149" t="s">
        <v>25</v>
      </c>
      <c r="H149" t="s">
        <v>15</v>
      </c>
      <c r="I149">
        <v>1</v>
      </c>
      <c r="J149" t="s">
        <v>30</v>
      </c>
    </row>
    <row r="150" spans="1:10" x14ac:dyDescent="0.3">
      <c r="A150" t="s">
        <v>288</v>
      </c>
      <c r="B150" t="s">
        <v>289</v>
      </c>
      <c r="C150" t="s">
        <v>12</v>
      </c>
      <c r="D150">
        <v>2141.12</v>
      </c>
      <c r="E150">
        <v>27</v>
      </c>
      <c r="F150" t="s">
        <v>24</v>
      </c>
      <c r="G150" t="s">
        <v>14</v>
      </c>
      <c r="H150" t="s">
        <v>15</v>
      </c>
      <c r="I150">
        <v>0</v>
      </c>
      <c r="J150" t="s">
        <v>16</v>
      </c>
    </row>
    <row r="151" spans="1:10" x14ac:dyDescent="0.3">
      <c r="A151" t="s">
        <v>290</v>
      </c>
      <c r="B151" t="s">
        <v>291</v>
      </c>
      <c r="C151" t="s">
        <v>35</v>
      </c>
      <c r="D151">
        <v>3655.76</v>
      </c>
      <c r="E151">
        <v>2</v>
      </c>
      <c r="F151" t="s">
        <v>13</v>
      </c>
      <c r="G151" t="s">
        <v>14</v>
      </c>
      <c r="H151" t="s">
        <v>15</v>
      </c>
      <c r="I151">
        <v>1</v>
      </c>
      <c r="J151" t="s">
        <v>30</v>
      </c>
    </row>
    <row r="152" spans="1:10" x14ac:dyDescent="0.3">
      <c r="A152" t="s">
        <v>292</v>
      </c>
      <c r="B152" t="s">
        <v>293</v>
      </c>
      <c r="C152" t="s">
        <v>23</v>
      </c>
      <c r="D152">
        <v>1229.22</v>
      </c>
      <c r="E152">
        <v>6</v>
      </c>
      <c r="F152" t="s">
        <v>24</v>
      </c>
      <c r="G152" t="s">
        <v>25</v>
      </c>
      <c r="H152" t="s">
        <v>15</v>
      </c>
      <c r="I152">
        <v>1</v>
      </c>
      <c r="J152" t="s">
        <v>30</v>
      </c>
    </row>
    <row r="153" spans="1:10" x14ac:dyDescent="0.3">
      <c r="A153" t="s">
        <v>294</v>
      </c>
      <c r="B153" t="s">
        <v>65</v>
      </c>
      <c r="C153" t="s">
        <v>12</v>
      </c>
      <c r="D153">
        <v>457.81</v>
      </c>
      <c r="E153">
        <v>14</v>
      </c>
      <c r="F153" t="s">
        <v>13</v>
      </c>
      <c r="G153" t="s">
        <v>14</v>
      </c>
      <c r="H153" t="s">
        <v>15</v>
      </c>
      <c r="I153">
        <v>0</v>
      </c>
      <c r="J153" t="s">
        <v>16</v>
      </c>
    </row>
    <row r="154" spans="1:10" x14ac:dyDescent="0.3">
      <c r="A154" t="s">
        <v>68</v>
      </c>
      <c r="B154" t="s">
        <v>295</v>
      </c>
      <c r="C154" t="s">
        <v>12</v>
      </c>
      <c r="D154">
        <v>4051.17</v>
      </c>
      <c r="E154">
        <v>37</v>
      </c>
      <c r="F154" t="s">
        <v>13</v>
      </c>
      <c r="G154" t="s">
        <v>20</v>
      </c>
      <c r="H154" t="s">
        <v>15</v>
      </c>
      <c r="I154">
        <v>0</v>
      </c>
      <c r="J154" t="s">
        <v>16</v>
      </c>
    </row>
    <row r="155" spans="1:10" x14ac:dyDescent="0.3">
      <c r="A155" t="s">
        <v>296</v>
      </c>
      <c r="B155" t="s">
        <v>297</v>
      </c>
      <c r="C155" t="s">
        <v>23</v>
      </c>
      <c r="D155">
        <v>4151.3900000000003</v>
      </c>
      <c r="E155">
        <v>47</v>
      </c>
      <c r="F155" t="s">
        <v>49</v>
      </c>
      <c r="G155" t="s">
        <v>14</v>
      </c>
      <c r="H155" t="s">
        <v>15</v>
      </c>
      <c r="I155">
        <v>0</v>
      </c>
      <c r="J155" t="s">
        <v>16</v>
      </c>
    </row>
    <row r="156" spans="1:10" x14ac:dyDescent="0.3">
      <c r="A156" t="s">
        <v>298</v>
      </c>
      <c r="B156" t="s">
        <v>299</v>
      </c>
      <c r="C156" t="s">
        <v>23</v>
      </c>
      <c r="D156">
        <v>2880.34</v>
      </c>
      <c r="E156">
        <v>8</v>
      </c>
      <c r="F156" t="s">
        <v>19</v>
      </c>
      <c r="G156" t="s">
        <v>58</v>
      </c>
      <c r="H156" t="s">
        <v>15</v>
      </c>
      <c r="I156">
        <v>0</v>
      </c>
      <c r="J156" t="s">
        <v>16</v>
      </c>
    </row>
    <row r="157" spans="1:10" x14ac:dyDescent="0.3">
      <c r="A157" t="s">
        <v>300</v>
      </c>
      <c r="B157" t="s">
        <v>301</v>
      </c>
      <c r="C157" t="s">
        <v>12</v>
      </c>
      <c r="D157">
        <v>1303.6199999999999</v>
      </c>
      <c r="E157">
        <v>19</v>
      </c>
      <c r="F157" t="s">
        <v>13</v>
      </c>
      <c r="G157" t="s">
        <v>25</v>
      </c>
      <c r="H157" t="s">
        <v>15</v>
      </c>
      <c r="I157">
        <v>0</v>
      </c>
      <c r="J157" t="s">
        <v>16</v>
      </c>
    </row>
    <row r="158" spans="1:10" x14ac:dyDescent="0.3">
      <c r="A158" t="s">
        <v>302</v>
      </c>
      <c r="B158" t="s">
        <v>303</v>
      </c>
      <c r="C158" t="s">
        <v>35</v>
      </c>
      <c r="D158">
        <v>3751.17</v>
      </c>
      <c r="E158">
        <v>4</v>
      </c>
      <c r="F158" t="s">
        <v>36</v>
      </c>
      <c r="G158" t="s">
        <v>46</v>
      </c>
      <c r="H158" t="s">
        <v>15</v>
      </c>
      <c r="I158">
        <v>1</v>
      </c>
      <c r="J158" t="s">
        <v>30</v>
      </c>
    </row>
    <row r="159" spans="1:10" x14ac:dyDescent="0.3">
      <c r="A159" t="s">
        <v>304</v>
      </c>
      <c r="B159" t="s">
        <v>231</v>
      </c>
      <c r="C159" t="s">
        <v>23</v>
      </c>
      <c r="D159">
        <v>1197.9000000000001</v>
      </c>
      <c r="E159">
        <v>42</v>
      </c>
      <c r="F159" t="s">
        <v>49</v>
      </c>
      <c r="G159" t="s">
        <v>58</v>
      </c>
      <c r="H159" t="s">
        <v>15</v>
      </c>
      <c r="I159">
        <v>1</v>
      </c>
      <c r="J159" t="s">
        <v>30</v>
      </c>
    </row>
    <row r="160" spans="1:10" x14ac:dyDescent="0.3">
      <c r="A160" t="s">
        <v>97</v>
      </c>
      <c r="B160" t="s">
        <v>305</v>
      </c>
      <c r="C160" t="s">
        <v>35</v>
      </c>
      <c r="D160">
        <v>196.41</v>
      </c>
      <c r="E160">
        <v>8</v>
      </c>
      <c r="F160" t="s">
        <v>19</v>
      </c>
      <c r="G160" t="s">
        <v>25</v>
      </c>
      <c r="H160" t="s">
        <v>15</v>
      </c>
      <c r="I160">
        <v>1</v>
      </c>
      <c r="J160" t="s">
        <v>30</v>
      </c>
    </row>
    <row r="161" spans="1:10" x14ac:dyDescent="0.3">
      <c r="A161" t="s">
        <v>306</v>
      </c>
      <c r="B161" t="s">
        <v>210</v>
      </c>
      <c r="C161" t="s">
        <v>35</v>
      </c>
      <c r="D161">
        <v>65.63</v>
      </c>
      <c r="E161">
        <v>25</v>
      </c>
      <c r="F161" t="s">
        <v>19</v>
      </c>
      <c r="G161" t="s">
        <v>25</v>
      </c>
      <c r="H161" t="s">
        <v>15</v>
      </c>
      <c r="I161">
        <v>1</v>
      </c>
      <c r="J161" t="s">
        <v>30</v>
      </c>
    </row>
    <row r="162" spans="1:10" x14ac:dyDescent="0.3">
      <c r="A162" t="s">
        <v>307</v>
      </c>
      <c r="B162" t="s">
        <v>308</v>
      </c>
      <c r="C162" t="s">
        <v>23</v>
      </c>
      <c r="D162">
        <v>4261.2299999999996</v>
      </c>
      <c r="E162">
        <v>6</v>
      </c>
      <c r="F162" t="s">
        <v>45</v>
      </c>
      <c r="G162" t="s">
        <v>20</v>
      </c>
      <c r="H162" t="s">
        <v>15</v>
      </c>
      <c r="I162">
        <v>0</v>
      </c>
      <c r="J162" t="s">
        <v>16</v>
      </c>
    </row>
    <row r="163" spans="1:10" x14ac:dyDescent="0.3">
      <c r="A163" t="s">
        <v>230</v>
      </c>
      <c r="B163" t="s">
        <v>309</v>
      </c>
      <c r="C163" t="s">
        <v>23</v>
      </c>
      <c r="D163">
        <v>950.29</v>
      </c>
      <c r="E163">
        <v>31</v>
      </c>
      <c r="F163" t="s">
        <v>45</v>
      </c>
      <c r="G163" t="s">
        <v>20</v>
      </c>
      <c r="H163" t="s">
        <v>15</v>
      </c>
      <c r="I163">
        <v>0</v>
      </c>
      <c r="J163" t="s">
        <v>16</v>
      </c>
    </row>
    <row r="164" spans="1:10" x14ac:dyDescent="0.3">
      <c r="A164" t="s">
        <v>91</v>
      </c>
      <c r="B164" t="s">
        <v>310</v>
      </c>
      <c r="C164" t="s">
        <v>35</v>
      </c>
      <c r="D164">
        <v>792.49</v>
      </c>
      <c r="E164">
        <v>16</v>
      </c>
      <c r="F164" t="s">
        <v>19</v>
      </c>
      <c r="G164" t="s">
        <v>20</v>
      </c>
      <c r="H164" t="s">
        <v>15</v>
      </c>
      <c r="I164">
        <v>0</v>
      </c>
      <c r="J164" t="s">
        <v>16</v>
      </c>
    </row>
    <row r="165" spans="1:10" x14ac:dyDescent="0.3">
      <c r="A165" t="s">
        <v>70</v>
      </c>
      <c r="B165" t="s">
        <v>311</v>
      </c>
      <c r="C165" t="s">
        <v>23</v>
      </c>
      <c r="D165">
        <v>2197.61</v>
      </c>
      <c r="E165">
        <v>15</v>
      </c>
      <c r="F165" t="s">
        <v>49</v>
      </c>
      <c r="G165" t="s">
        <v>25</v>
      </c>
      <c r="H165" t="s">
        <v>15</v>
      </c>
      <c r="I165">
        <v>1</v>
      </c>
      <c r="J165" t="s">
        <v>30</v>
      </c>
    </row>
    <row r="166" spans="1:10" x14ac:dyDescent="0.3">
      <c r="A166" t="s">
        <v>312</v>
      </c>
      <c r="B166" t="s">
        <v>313</v>
      </c>
      <c r="C166" t="s">
        <v>28</v>
      </c>
      <c r="D166">
        <v>1965.97</v>
      </c>
      <c r="E166">
        <v>15</v>
      </c>
      <c r="F166" t="s">
        <v>13</v>
      </c>
      <c r="G166" t="s">
        <v>25</v>
      </c>
      <c r="H166" t="s">
        <v>15</v>
      </c>
      <c r="I166">
        <v>0</v>
      </c>
      <c r="J166" t="s">
        <v>16</v>
      </c>
    </row>
    <row r="167" spans="1:10" x14ac:dyDescent="0.3">
      <c r="A167" t="s">
        <v>314</v>
      </c>
      <c r="B167" t="s">
        <v>315</v>
      </c>
      <c r="C167" t="s">
        <v>23</v>
      </c>
      <c r="D167">
        <v>2872.3</v>
      </c>
      <c r="E167">
        <v>9</v>
      </c>
      <c r="F167" t="s">
        <v>49</v>
      </c>
      <c r="G167" t="s">
        <v>58</v>
      </c>
      <c r="H167" t="s">
        <v>15</v>
      </c>
      <c r="I167">
        <v>0</v>
      </c>
      <c r="J167" t="s">
        <v>16</v>
      </c>
    </row>
    <row r="168" spans="1:10" x14ac:dyDescent="0.3">
      <c r="A168" t="s">
        <v>316</v>
      </c>
      <c r="B168" t="s">
        <v>317</v>
      </c>
      <c r="C168" t="s">
        <v>35</v>
      </c>
      <c r="D168">
        <v>1181.3800000000001</v>
      </c>
      <c r="E168">
        <v>35</v>
      </c>
      <c r="F168" t="s">
        <v>45</v>
      </c>
      <c r="G168" t="s">
        <v>25</v>
      </c>
      <c r="H168" t="s">
        <v>15</v>
      </c>
      <c r="I168">
        <v>0</v>
      </c>
      <c r="J168" t="s">
        <v>16</v>
      </c>
    </row>
    <row r="169" spans="1:10" x14ac:dyDescent="0.3">
      <c r="A169" t="s">
        <v>318</v>
      </c>
      <c r="B169" t="s">
        <v>141</v>
      </c>
      <c r="C169" t="s">
        <v>35</v>
      </c>
      <c r="D169">
        <v>2339.6</v>
      </c>
      <c r="E169">
        <v>30</v>
      </c>
      <c r="F169" t="s">
        <v>36</v>
      </c>
      <c r="G169" t="s">
        <v>20</v>
      </c>
      <c r="H169" t="s">
        <v>15</v>
      </c>
      <c r="I169">
        <v>1</v>
      </c>
      <c r="J169" t="s">
        <v>30</v>
      </c>
    </row>
    <row r="170" spans="1:10" x14ac:dyDescent="0.3">
      <c r="A170" t="s">
        <v>319</v>
      </c>
      <c r="B170" t="s">
        <v>211</v>
      </c>
      <c r="C170" t="s">
        <v>28</v>
      </c>
      <c r="D170">
        <v>2142.73</v>
      </c>
      <c r="E170">
        <v>6</v>
      </c>
      <c r="F170" t="s">
        <v>19</v>
      </c>
      <c r="G170" t="s">
        <v>25</v>
      </c>
      <c r="H170" t="s">
        <v>15</v>
      </c>
      <c r="I170">
        <v>0</v>
      </c>
      <c r="J170" t="s">
        <v>16</v>
      </c>
    </row>
    <row r="171" spans="1:10" x14ac:dyDescent="0.3">
      <c r="A171" t="s">
        <v>320</v>
      </c>
      <c r="B171" t="s">
        <v>321</v>
      </c>
      <c r="C171" t="s">
        <v>28</v>
      </c>
      <c r="D171">
        <v>1497.98</v>
      </c>
      <c r="E171">
        <v>21</v>
      </c>
      <c r="F171" t="s">
        <v>36</v>
      </c>
      <c r="G171" t="s">
        <v>14</v>
      </c>
      <c r="H171" t="s">
        <v>15</v>
      </c>
      <c r="I171">
        <v>1</v>
      </c>
      <c r="J171" t="s">
        <v>30</v>
      </c>
    </row>
    <row r="172" spans="1:10" x14ac:dyDescent="0.3">
      <c r="A172" t="s">
        <v>322</v>
      </c>
      <c r="B172" t="s">
        <v>323</v>
      </c>
      <c r="C172" t="s">
        <v>35</v>
      </c>
      <c r="D172">
        <v>2693.75</v>
      </c>
      <c r="E172">
        <v>39</v>
      </c>
      <c r="F172" t="s">
        <v>24</v>
      </c>
      <c r="G172" t="s">
        <v>29</v>
      </c>
      <c r="H172" t="s">
        <v>15</v>
      </c>
      <c r="I172">
        <v>0</v>
      </c>
      <c r="J172" t="s">
        <v>16</v>
      </c>
    </row>
    <row r="173" spans="1:10" x14ac:dyDescent="0.3">
      <c r="A173" t="s">
        <v>324</v>
      </c>
      <c r="B173" t="s">
        <v>325</v>
      </c>
      <c r="C173" t="s">
        <v>35</v>
      </c>
      <c r="D173">
        <v>1685.75</v>
      </c>
      <c r="E173">
        <v>28</v>
      </c>
      <c r="F173" t="s">
        <v>19</v>
      </c>
      <c r="G173" t="s">
        <v>46</v>
      </c>
      <c r="H173" t="s">
        <v>15</v>
      </c>
      <c r="I173">
        <v>1</v>
      </c>
      <c r="J173" t="s">
        <v>30</v>
      </c>
    </row>
    <row r="174" spans="1:10" x14ac:dyDescent="0.3">
      <c r="A174" t="s">
        <v>62</v>
      </c>
      <c r="B174" t="s">
        <v>326</v>
      </c>
      <c r="C174" t="s">
        <v>23</v>
      </c>
      <c r="D174">
        <v>1359.62</v>
      </c>
      <c r="E174">
        <v>17</v>
      </c>
      <c r="F174" t="s">
        <v>45</v>
      </c>
      <c r="G174" t="s">
        <v>14</v>
      </c>
      <c r="H174" t="s">
        <v>15</v>
      </c>
      <c r="I174">
        <v>0</v>
      </c>
      <c r="J174" t="s">
        <v>16</v>
      </c>
    </row>
    <row r="175" spans="1:10" x14ac:dyDescent="0.3">
      <c r="A175" t="s">
        <v>258</v>
      </c>
      <c r="B175" t="s">
        <v>276</v>
      </c>
      <c r="C175" t="s">
        <v>35</v>
      </c>
      <c r="D175">
        <v>1004.61</v>
      </c>
      <c r="E175">
        <v>4</v>
      </c>
      <c r="F175" t="s">
        <v>13</v>
      </c>
      <c r="G175" t="s">
        <v>29</v>
      </c>
      <c r="H175" t="s">
        <v>15</v>
      </c>
      <c r="I175">
        <v>0</v>
      </c>
      <c r="J175" t="s">
        <v>16</v>
      </c>
    </row>
    <row r="176" spans="1:10" x14ac:dyDescent="0.3">
      <c r="A176" t="s">
        <v>327</v>
      </c>
      <c r="B176" t="s">
        <v>328</v>
      </c>
      <c r="C176" t="s">
        <v>23</v>
      </c>
      <c r="D176">
        <v>273.92</v>
      </c>
      <c r="E176">
        <v>47</v>
      </c>
      <c r="F176" t="s">
        <v>13</v>
      </c>
      <c r="G176" t="s">
        <v>25</v>
      </c>
      <c r="H176" t="s">
        <v>15</v>
      </c>
      <c r="I176">
        <v>0</v>
      </c>
      <c r="J176" t="s">
        <v>16</v>
      </c>
    </row>
    <row r="177" spans="1:10" x14ac:dyDescent="0.3">
      <c r="A177" t="s">
        <v>329</v>
      </c>
      <c r="B177" t="s">
        <v>330</v>
      </c>
      <c r="C177" t="s">
        <v>12</v>
      </c>
      <c r="D177">
        <v>3474.58</v>
      </c>
      <c r="E177">
        <v>35</v>
      </c>
      <c r="F177" t="s">
        <v>45</v>
      </c>
      <c r="G177" t="s">
        <v>29</v>
      </c>
      <c r="H177" t="s">
        <v>15</v>
      </c>
      <c r="I177">
        <v>0</v>
      </c>
      <c r="J177" t="s">
        <v>16</v>
      </c>
    </row>
    <row r="178" spans="1:10" x14ac:dyDescent="0.3">
      <c r="A178" t="s">
        <v>331</v>
      </c>
      <c r="B178" t="s">
        <v>128</v>
      </c>
      <c r="C178" t="s">
        <v>12</v>
      </c>
      <c r="D178">
        <v>3328.53</v>
      </c>
      <c r="E178">
        <v>32</v>
      </c>
      <c r="F178" t="s">
        <v>13</v>
      </c>
      <c r="G178" t="s">
        <v>25</v>
      </c>
      <c r="H178" t="s">
        <v>15</v>
      </c>
      <c r="I178">
        <v>0</v>
      </c>
      <c r="J178" t="s">
        <v>16</v>
      </c>
    </row>
    <row r="179" spans="1:10" x14ac:dyDescent="0.3">
      <c r="A179" t="s">
        <v>332</v>
      </c>
      <c r="B179" t="s">
        <v>333</v>
      </c>
      <c r="C179" t="s">
        <v>23</v>
      </c>
      <c r="D179">
        <v>2128.16</v>
      </c>
      <c r="E179">
        <v>39</v>
      </c>
      <c r="F179" t="s">
        <v>13</v>
      </c>
      <c r="G179" t="s">
        <v>58</v>
      </c>
      <c r="H179" t="s">
        <v>15</v>
      </c>
      <c r="I179">
        <v>1</v>
      </c>
      <c r="J179" t="s">
        <v>30</v>
      </c>
    </row>
    <row r="180" spans="1:10" x14ac:dyDescent="0.3">
      <c r="A180" t="s">
        <v>334</v>
      </c>
      <c r="B180" t="s">
        <v>335</v>
      </c>
      <c r="C180" t="s">
        <v>35</v>
      </c>
      <c r="D180">
        <v>825</v>
      </c>
      <c r="E180">
        <v>49</v>
      </c>
      <c r="F180" t="s">
        <v>19</v>
      </c>
      <c r="G180" t="s">
        <v>20</v>
      </c>
      <c r="H180" t="s">
        <v>15</v>
      </c>
      <c r="I180">
        <v>1</v>
      </c>
      <c r="J180" t="s">
        <v>30</v>
      </c>
    </row>
    <row r="181" spans="1:10" x14ac:dyDescent="0.3">
      <c r="A181" t="s">
        <v>50</v>
      </c>
      <c r="B181" t="s">
        <v>336</v>
      </c>
      <c r="C181" t="s">
        <v>35</v>
      </c>
      <c r="D181">
        <v>1403.87</v>
      </c>
      <c r="E181">
        <v>25</v>
      </c>
      <c r="F181" t="s">
        <v>19</v>
      </c>
      <c r="G181" t="s">
        <v>20</v>
      </c>
      <c r="H181" t="s">
        <v>15</v>
      </c>
      <c r="I181">
        <v>1</v>
      </c>
      <c r="J181" t="s">
        <v>30</v>
      </c>
    </row>
    <row r="182" spans="1:10" x14ac:dyDescent="0.3">
      <c r="A182" t="s">
        <v>337</v>
      </c>
      <c r="B182" t="s">
        <v>276</v>
      </c>
      <c r="C182" t="s">
        <v>23</v>
      </c>
      <c r="D182">
        <v>487.9</v>
      </c>
      <c r="E182">
        <v>11</v>
      </c>
      <c r="F182" t="s">
        <v>24</v>
      </c>
      <c r="G182" t="s">
        <v>46</v>
      </c>
      <c r="H182" t="s">
        <v>15</v>
      </c>
      <c r="I182">
        <v>0</v>
      </c>
      <c r="J182" t="s">
        <v>16</v>
      </c>
    </row>
    <row r="183" spans="1:10" x14ac:dyDescent="0.3">
      <c r="A183" t="s">
        <v>338</v>
      </c>
      <c r="B183" t="s">
        <v>339</v>
      </c>
      <c r="C183" t="s">
        <v>23</v>
      </c>
      <c r="D183">
        <v>3548.46</v>
      </c>
      <c r="E183">
        <v>27</v>
      </c>
      <c r="F183" t="s">
        <v>24</v>
      </c>
      <c r="G183" t="s">
        <v>14</v>
      </c>
      <c r="H183" t="s">
        <v>15</v>
      </c>
      <c r="I183">
        <v>1</v>
      </c>
      <c r="J183" t="s">
        <v>30</v>
      </c>
    </row>
    <row r="184" spans="1:10" x14ac:dyDescent="0.3">
      <c r="A184" t="s">
        <v>340</v>
      </c>
      <c r="B184" t="s">
        <v>341</v>
      </c>
      <c r="C184" t="s">
        <v>28</v>
      </c>
      <c r="D184">
        <v>3580.38</v>
      </c>
      <c r="E184">
        <v>2</v>
      </c>
      <c r="F184" t="s">
        <v>19</v>
      </c>
      <c r="G184" t="s">
        <v>25</v>
      </c>
      <c r="H184" t="s">
        <v>15</v>
      </c>
      <c r="I184">
        <v>1</v>
      </c>
      <c r="J184" t="s">
        <v>30</v>
      </c>
    </row>
    <row r="185" spans="1:10" x14ac:dyDescent="0.3">
      <c r="A185" t="s">
        <v>131</v>
      </c>
      <c r="B185" t="s">
        <v>342</v>
      </c>
      <c r="C185" t="s">
        <v>35</v>
      </c>
      <c r="D185">
        <v>1732.52</v>
      </c>
      <c r="E185">
        <v>6</v>
      </c>
      <c r="F185" t="s">
        <v>45</v>
      </c>
      <c r="G185" t="s">
        <v>20</v>
      </c>
      <c r="H185" t="s">
        <v>15</v>
      </c>
      <c r="I185">
        <v>1</v>
      </c>
      <c r="J185" t="s">
        <v>30</v>
      </c>
    </row>
    <row r="186" spans="1:10" x14ac:dyDescent="0.3">
      <c r="A186" t="s">
        <v>74</v>
      </c>
      <c r="B186" t="s">
        <v>343</v>
      </c>
      <c r="C186" t="s">
        <v>23</v>
      </c>
      <c r="D186">
        <v>1815.71</v>
      </c>
      <c r="E186">
        <v>49</v>
      </c>
      <c r="F186" t="s">
        <v>49</v>
      </c>
      <c r="G186" t="s">
        <v>14</v>
      </c>
      <c r="H186" t="s">
        <v>15</v>
      </c>
      <c r="I186">
        <v>0</v>
      </c>
      <c r="J186" t="s">
        <v>16</v>
      </c>
    </row>
    <row r="187" spans="1:10" x14ac:dyDescent="0.3">
      <c r="A187" t="s">
        <v>344</v>
      </c>
      <c r="B187" t="s">
        <v>345</v>
      </c>
      <c r="C187" t="s">
        <v>12</v>
      </c>
      <c r="D187">
        <v>209.66</v>
      </c>
      <c r="E187">
        <v>34</v>
      </c>
      <c r="F187" t="s">
        <v>19</v>
      </c>
      <c r="G187" t="s">
        <v>58</v>
      </c>
      <c r="H187" t="s">
        <v>15</v>
      </c>
      <c r="I187">
        <v>1</v>
      </c>
      <c r="J187" t="s">
        <v>30</v>
      </c>
    </row>
    <row r="188" spans="1:10" x14ac:dyDescent="0.3">
      <c r="A188" t="s">
        <v>271</v>
      </c>
      <c r="B188" t="s">
        <v>346</v>
      </c>
      <c r="C188" t="s">
        <v>28</v>
      </c>
      <c r="D188">
        <v>2282.2199999999998</v>
      </c>
      <c r="E188">
        <v>5</v>
      </c>
      <c r="F188" t="s">
        <v>36</v>
      </c>
      <c r="G188" t="s">
        <v>20</v>
      </c>
      <c r="H188" t="s">
        <v>15</v>
      </c>
      <c r="I188">
        <v>1</v>
      </c>
      <c r="J188" t="s">
        <v>30</v>
      </c>
    </row>
    <row r="189" spans="1:10" x14ac:dyDescent="0.3">
      <c r="A189" t="s">
        <v>347</v>
      </c>
      <c r="B189" t="s">
        <v>348</v>
      </c>
      <c r="C189" t="s">
        <v>35</v>
      </c>
      <c r="D189">
        <v>2939.56</v>
      </c>
      <c r="E189">
        <v>19</v>
      </c>
      <c r="F189" t="s">
        <v>24</v>
      </c>
      <c r="G189" t="s">
        <v>58</v>
      </c>
      <c r="H189" t="s">
        <v>15</v>
      </c>
      <c r="I189">
        <v>0</v>
      </c>
      <c r="J189" t="s">
        <v>16</v>
      </c>
    </row>
    <row r="190" spans="1:10" x14ac:dyDescent="0.3">
      <c r="A190" t="s">
        <v>349</v>
      </c>
      <c r="B190" t="s">
        <v>350</v>
      </c>
      <c r="C190" t="s">
        <v>12</v>
      </c>
      <c r="D190">
        <v>4899.55</v>
      </c>
      <c r="E190">
        <v>27</v>
      </c>
      <c r="F190" t="s">
        <v>13</v>
      </c>
      <c r="G190" t="s">
        <v>20</v>
      </c>
      <c r="H190" t="s">
        <v>15</v>
      </c>
      <c r="I190">
        <v>0</v>
      </c>
      <c r="J190" t="s">
        <v>16</v>
      </c>
    </row>
    <row r="191" spans="1:10" x14ac:dyDescent="0.3">
      <c r="A191" t="s">
        <v>351</v>
      </c>
      <c r="B191" t="s">
        <v>201</v>
      </c>
      <c r="C191" t="s">
        <v>28</v>
      </c>
      <c r="D191">
        <v>3992.63</v>
      </c>
      <c r="E191">
        <v>16</v>
      </c>
      <c r="F191" t="s">
        <v>49</v>
      </c>
      <c r="G191" t="s">
        <v>29</v>
      </c>
      <c r="H191" t="s">
        <v>15</v>
      </c>
      <c r="I191">
        <v>0</v>
      </c>
      <c r="J191" t="s">
        <v>16</v>
      </c>
    </row>
    <row r="192" spans="1:10" x14ac:dyDescent="0.3">
      <c r="A192" t="s">
        <v>254</v>
      </c>
      <c r="B192" t="s">
        <v>352</v>
      </c>
      <c r="C192" t="s">
        <v>23</v>
      </c>
      <c r="D192">
        <v>3100.65</v>
      </c>
      <c r="E192">
        <v>36</v>
      </c>
      <c r="F192" t="s">
        <v>36</v>
      </c>
      <c r="G192" t="s">
        <v>14</v>
      </c>
      <c r="H192" t="s">
        <v>15</v>
      </c>
      <c r="I192">
        <v>1</v>
      </c>
      <c r="J192" t="s">
        <v>30</v>
      </c>
    </row>
    <row r="193" spans="1:10" x14ac:dyDescent="0.3">
      <c r="A193" t="s">
        <v>353</v>
      </c>
      <c r="B193" t="s">
        <v>330</v>
      </c>
      <c r="C193" t="s">
        <v>12</v>
      </c>
      <c r="D193">
        <v>213.02</v>
      </c>
      <c r="E193">
        <v>3</v>
      </c>
      <c r="F193" t="s">
        <v>13</v>
      </c>
      <c r="G193" t="s">
        <v>46</v>
      </c>
      <c r="H193" t="s">
        <v>15</v>
      </c>
      <c r="I193">
        <v>0</v>
      </c>
      <c r="J193" t="s">
        <v>16</v>
      </c>
    </row>
    <row r="194" spans="1:10" x14ac:dyDescent="0.3">
      <c r="A194" t="s">
        <v>354</v>
      </c>
      <c r="B194" t="s">
        <v>204</v>
      </c>
      <c r="C194" t="s">
        <v>35</v>
      </c>
      <c r="D194">
        <v>1590.04</v>
      </c>
      <c r="E194">
        <v>33</v>
      </c>
      <c r="F194" t="s">
        <v>49</v>
      </c>
      <c r="G194" t="s">
        <v>29</v>
      </c>
      <c r="H194" t="s">
        <v>15</v>
      </c>
      <c r="I194">
        <v>1</v>
      </c>
      <c r="J194" t="s">
        <v>30</v>
      </c>
    </row>
    <row r="195" spans="1:10" x14ac:dyDescent="0.3">
      <c r="A195" t="s">
        <v>41</v>
      </c>
      <c r="B195" t="s">
        <v>215</v>
      </c>
      <c r="C195" t="s">
        <v>35</v>
      </c>
      <c r="D195">
        <v>3489.32</v>
      </c>
      <c r="E195">
        <v>48</v>
      </c>
      <c r="F195" t="s">
        <v>13</v>
      </c>
      <c r="G195" t="s">
        <v>46</v>
      </c>
      <c r="H195" t="s">
        <v>15</v>
      </c>
      <c r="I195">
        <v>0</v>
      </c>
      <c r="J195" t="s">
        <v>16</v>
      </c>
    </row>
    <row r="196" spans="1:10" x14ac:dyDescent="0.3">
      <c r="A196" t="s">
        <v>184</v>
      </c>
      <c r="B196" t="s">
        <v>134</v>
      </c>
      <c r="C196" t="s">
        <v>23</v>
      </c>
      <c r="D196">
        <v>4621.3</v>
      </c>
      <c r="E196">
        <v>50</v>
      </c>
      <c r="F196" t="s">
        <v>13</v>
      </c>
      <c r="G196" t="s">
        <v>46</v>
      </c>
      <c r="H196" t="s">
        <v>15</v>
      </c>
      <c r="I196">
        <v>1</v>
      </c>
      <c r="J196" t="s">
        <v>30</v>
      </c>
    </row>
    <row r="197" spans="1:10" x14ac:dyDescent="0.3">
      <c r="A197" t="s">
        <v>355</v>
      </c>
      <c r="B197" t="s">
        <v>339</v>
      </c>
      <c r="C197" t="s">
        <v>28</v>
      </c>
      <c r="D197">
        <v>85.54</v>
      </c>
      <c r="E197">
        <v>50</v>
      </c>
      <c r="F197" t="s">
        <v>36</v>
      </c>
      <c r="G197" t="s">
        <v>46</v>
      </c>
      <c r="H197" t="s">
        <v>15</v>
      </c>
      <c r="I197">
        <v>0</v>
      </c>
      <c r="J197" t="s">
        <v>16</v>
      </c>
    </row>
    <row r="198" spans="1:10" x14ac:dyDescent="0.3">
      <c r="A198" t="s">
        <v>356</v>
      </c>
      <c r="B198" t="s">
        <v>357</v>
      </c>
      <c r="C198" t="s">
        <v>12</v>
      </c>
      <c r="D198">
        <v>4517.6000000000004</v>
      </c>
      <c r="E198">
        <v>18</v>
      </c>
      <c r="F198" t="s">
        <v>13</v>
      </c>
      <c r="G198" t="s">
        <v>20</v>
      </c>
      <c r="H198" t="s">
        <v>15</v>
      </c>
      <c r="I198">
        <v>0</v>
      </c>
      <c r="J198" t="s">
        <v>16</v>
      </c>
    </row>
    <row r="199" spans="1:10" x14ac:dyDescent="0.3">
      <c r="A199" t="s">
        <v>117</v>
      </c>
      <c r="B199" t="s">
        <v>358</v>
      </c>
      <c r="C199" t="s">
        <v>35</v>
      </c>
      <c r="D199">
        <v>3173.58</v>
      </c>
      <c r="E199">
        <v>44</v>
      </c>
      <c r="F199" t="s">
        <v>36</v>
      </c>
      <c r="G199" t="s">
        <v>58</v>
      </c>
      <c r="H199" t="s">
        <v>15</v>
      </c>
      <c r="I199">
        <v>1</v>
      </c>
      <c r="J199" t="s">
        <v>30</v>
      </c>
    </row>
    <row r="200" spans="1:10" x14ac:dyDescent="0.3">
      <c r="A200" t="s">
        <v>359</v>
      </c>
      <c r="B200" t="s">
        <v>360</v>
      </c>
      <c r="C200" t="s">
        <v>35</v>
      </c>
      <c r="D200">
        <v>4751.1000000000004</v>
      </c>
      <c r="E200">
        <v>4</v>
      </c>
      <c r="F200" t="s">
        <v>13</v>
      </c>
      <c r="G200" t="s">
        <v>20</v>
      </c>
      <c r="H200" t="s">
        <v>15</v>
      </c>
      <c r="I200">
        <v>1</v>
      </c>
      <c r="J200" t="s">
        <v>30</v>
      </c>
    </row>
    <row r="201" spans="1:10" x14ac:dyDescent="0.3">
      <c r="A201" t="s">
        <v>361</v>
      </c>
      <c r="B201" t="s">
        <v>362</v>
      </c>
      <c r="C201" t="s">
        <v>28</v>
      </c>
      <c r="D201">
        <v>2112.9299999999998</v>
      </c>
      <c r="E201">
        <v>43</v>
      </c>
      <c r="F201" t="s">
        <v>36</v>
      </c>
      <c r="G201" t="s">
        <v>58</v>
      </c>
      <c r="H201" t="s">
        <v>15</v>
      </c>
      <c r="I201">
        <v>0</v>
      </c>
      <c r="J201" t="s">
        <v>16</v>
      </c>
    </row>
    <row r="202" spans="1:10" x14ac:dyDescent="0.3">
      <c r="A202" t="s">
        <v>292</v>
      </c>
      <c r="B202" t="s">
        <v>363</v>
      </c>
      <c r="C202" t="s">
        <v>35</v>
      </c>
      <c r="D202">
        <v>2220.0700000000002</v>
      </c>
      <c r="E202">
        <v>4</v>
      </c>
      <c r="F202" t="s">
        <v>24</v>
      </c>
      <c r="G202" t="s">
        <v>58</v>
      </c>
      <c r="H202" t="s">
        <v>15</v>
      </c>
      <c r="I202">
        <v>1</v>
      </c>
      <c r="J202" t="s">
        <v>30</v>
      </c>
    </row>
    <row r="203" spans="1:10" x14ac:dyDescent="0.3">
      <c r="A203" t="s">
        <v>364</v>
      </c>
      <c r="B203" t="s">
        <v>365</v>
      </c>
      <c r="C203" t="s">
        <v>23</v>
      </c>
      <c r="D203">
        <v>3801.61</v>
      </c>
      <c r="E203">
        <v>10</v>
      </c>
      <c r="F203" t="s">
        <v>49</v>
      </c>
      <c r="G203" t="s">
        <v>25</v>
      </c>
      <c r="H203" t="s">
        <v>15</v>
      </c>
      <c r="I203">
        <v>1</v>
      </c>
      <c r="J203" t="s">
        <v>30</v>
      </c>
    </row>
    <row r="204" spans="1:10" x14ac:dyDescent="0.3">
      <c r="A204" t="s">
        <v>228</v>
      </c>
      <c r="B204" t="s">
        <v>366</v>
      </c>
      <c r="C204" t="s">
        <v>28</v>
      </c>
      <c r="D204">
        <v>3765.92</v>
      </c>
      <c r="E204">
        <v>7</v>
      </c>
      <c r="F204" t="s">
        <v>19</v>
      </c>
      <c r="G204" t="s">
        <v>58</v>
      </c>
      <c r="H204" t="s">
        <v>15</v>
      </c>
      <c r="I204">
        <v>1</v>
      </c>
      <c r="J204" t="s">
        <v>30</v>
      </c>
    </row>
    <row r="205" spans="1:10" x14ac:dyDescent="0.3">
      <c r="A205" t="s">
        <v>320</v>
      </c>
      <c r="B205" t="s">
        <v>51</v>
      </c>
      <c r="C205" t="s">
        <v>28</v>
      </c>
      <c r="D205">
        <v>3691.14</v>
      </c>
      <c r="E205">
        <v>32</v>
      </c>
      <c r="F205" t="s">
        <v>36</v>
      </c>
      <c r="G205" t="s">
        <v>14</v>
      </c>
      <c r="H205" t="s">
        <v>15</v>
      </c>
      <c r="I205">
        <v>1</v>
      </c>
      <c r="J205" t="s">
        <v>30</v>
      </c>
    </row>
    <row r="206" spans="1:10" x14ac:dyDescent="0.3">
      <c r="A206" t="s">
        <v>367</v>
      </c>
      <c r="B206" t="s">
        <v>368</v>
      </c>
      <c r="C206" t="s">
        <v>12</v>
      </c>
      <c r="D206">
        <v>2810.42</v>
      </c>
      <c r="E206">
        <v>44</v>
      </c>
      <c r="F206" t="s">
        <v>13</v>
      </c>
      <c r="G206" t="s">
        <v>20</v>
      </c>
      <c r="H206" t="s">
        <v>369</v>
      </c>
      <c r="I206">
        <v>0</v>
      </c>
      <c r="J206" t="s">
        <v>16</v>
      </c>
    </row>
    <row r="207" spans="1:10" x14ac:dyDescent="0.3">
      <c r="A207" t="s">
        <v>221</v>
      </c>
      <c r="B207" t="s">
        <v>370</v>
      </c>
      <c r="C207" t="s">
        <v>35</v>
      </c>
      <c r="D207">
        <v>4412.1099999999997</v>
      </c>
      <c r="E207">
        <v>36</v>
      </c>
      <c r="F207" t="s">
        <v>24</v>
      </c>
      <c r="G207" t="s">
        <v>46</v>
      </c>
      <c r="H207" t="s">
        <v>369</v>
      </c>
      <c r="I207">
        <v>1</v>
      </c>
      <c r="J207" t="s">
        <v>30</v>
      </c>
    </row>
    <row r="208" spans="1:10" x14ac:dyDescent="0.3">
      <c r="A208" t="s">
        <v>371</v>
      </c>
      <c r="B208" t="s">
        <v>278</v>
      </c>
      <c r="C208" t="s">
        <v>12</v>
      </c>
      <c r="D208">
        <v>1344.33</v>
      </c>
      <c r="E208">
        <v>42</v>
      </c>
      <c r="F208" t="s">
        <v>36</v>
      </c>
      <c r="G208" t="s">
        <v>14</v>
      </c>
      <c r="H208" t="s">
        <v>369</v>
      </c>
      <c r="I208">
        <v>1</v>
      </c>
      <c r="J208" t="s">
        <v>30</v>
      </c>
    </row>
    <row r="209" spans="1:10" x14ac:dyDescent="0.3">
      <c r="A209" t="s">
        <v>372</v>
      </c>
      <c r="B209" t="s">
        <v>373</v>
      </c>
      <c r="C209" t="s">
        <v>35</v>
      </c>
      <c r="D209">
        <v>734.06</v>
      </c>
      <c r="E209">
        <v>2</v>
      </c>
      <c r="F209" t="s">
        <v>36</v>
      </c>
      <c r="G209" t="s">
        <v>20</v>
      </c>
      <c r="H209" t="s">
        <v>369</v>
      </c>
      <c r="I209">
        <v>1</v>
      </c>
      <c r="J209" t="s">
        <v>30</v>
      </c>
    </row>
    <row r="210" spans="1:10" x14ac:dyDescent="0.3">
      <c r="A210" t="s">
        <v>355</v>
      </c>
      <c r="B210" t="s">
        <v>374</v>
      </c>
      <c r="C210" t="s">
        <v>12</v>
      </c>
      <c r="D210">
        <v>817.84</v>
      </c>
      <c r="E210">
        <v>6</v>
      </c>
      <c r="F210" t="s">
        <v>24</v>
      </c>
      <c r="G210" t="s">
        <v>46</v>
      </c>
      <c r="H210" t="s">
        <v>369</v>
      </c>
      <c r="I210">
        <v>0</v>
      </c>
      <c r="J210" t="s">
        <v>16</v>
      </c>
    </row>
    <row r="211" spans="1:10" x14ac:dyDescent="0.3">
      <c r="A211" t="s">
        <v>375</v>
      </c>
      <c r="B211" t="s">
        <v>376</v>
      </c>
      <c r="C211" t="s">
        <v>28</v>
      </c>
      <c r="D211">
        <v>4612.83</v>
      </c>
      <c r="E211">
        <v>24</v>
      </c>
      <c r="F211" t="s">
        <v>49</v>
      </c>
      <c r="G211" t="s">
        <v>46</v>
      </c>
      <c r="H211" t="s">
        <v>369</v>
      </c>
      <c r="I211">
        <v>1</v>
      </c>
      <c r="J211" t="s">
        <v>30</v>
      </c>
    </row>
    <row r="212" spans="1:10" x14ac:dyDescent="0.3">
      <c r="A212" t="s">
        <v>37</v>
      </c>
      <c r="B212" t="s">
        <v>377</v>
      </c>
      <c r="C212" t="s">
        <v>12</v>
      </c>
      <c r="D212">
        <v>4216.22</v>
      </c>
      <c r="E212">
        <v>20</v>
      </c>
      <c r="F212" t="s">
        <v>19</v>
      </c>
      <c r="G212" t="s">
        <v>58</v>
      </c>
      <c r="H212" t="s">
        <v>369</v>
      </c>
      <c r="I212">
        <v>0</v>
      </c>
      <c r="J212" t="s">
        <v>16</v>
      </c>
    </row>
    <row r="213" spans="1:10" x14ac:dyDescent="0.3">
      <c r="A213" t="s">
        <v>101</v>
      </c>
      <c r="B213" t="s">
        <v>378</v>
      </c>
      <c r="C213" t="s">
        <v>12</v>
      </c>
      <c r="D213">
        <v>878.44</v>
      </c>
      <c r="E213">
        <v>2</v>
      </c>
      <c r="F213" t="s">
        <v>24</v>
      </c>
      <c r="G213" t="s">
        <v>29</v>
      </c>
      <c r="H213" t="s">
        <v>369</v>
      </c>
      <c r="I213">
        <v>1</v>
      </c>
      <c r="J213" t="s">
        <v>30</v>
      </c>
    </row>
    <row r="214" spans="1:10" x14ac:dyDescent="0.3">
      <c r="A214" t="s">
        <v>302</v>
      </c>
      <c r="B214" t="s">
        <v>379</v>
      </c>
      <c r="C214" t="s">
        <v>12</v>
      </c>
      <c r="D214">
        <v>551.35</v>
      </c>
      <c r="E214">
        <v>29</v>
      </c>
      <c r="F214" t="s">
        <v>36</v>
      </c>
      <c r="G214" t="s">
        <v>29</v>
      </c>
      <c r="H214" t="s">
        <v>369</v>
      </c>
      <c r="I214">
        <v>1</v>
      </c>
      <c r="J214" t="s">
        <v>30</v>
      </c>
    </row>
    <row r="215" spans="1:10" x14ac:dyDescent="0.3">
      <c r="A215" t="s">
        <v>196</v>
      </c>
      <c r="B215" t="s">
        <v>380</v>
      </c>
      <c r="C215" t="s">
        <v>35</v>
      </c>
      <c r="D215">
        <v>2822.78</v>
      </c>
      <c r="E215">
        <v>38</v>
      </c>
      <c r="F215" t="s">
        <v>36</v>
      </c>
      <c r="G215" t="s">
        <v>58</v>
      </c>
      <c r="H215" t="s">
        <v>369</v>
      </c>
      <c r="I215">
        <v>1</v>
      </c>
      <c r="J215" t="s">
        <v>30</v>
      </c>
    </row>
    <row r="216" spans="1:10" x14ac:dyDescent="0.3">
      <c r="A216" t="s">
        <v>180</v>
      </c>
      <c r="B216" t="s">
        <v>381</v>
      </c>
      <c r="C216" t="s">
        <v>35</v>
      </c>
      <c r="D216">
        <v>590.82000000000005</v>
      </c>
      <c r="E216">
        <v>30</v>
      </c>
      <c r="F216" t="s">
        <v>49</v>
      </c>
      <c r="G216" t="s">
        <v>25</v>
      </c>
      <c r="H216" t="s">
        <v>369</v>
      </c>
      <c r="I216">
        <v>0</v>
      </c>
      <c r="J216" t="s">
        <v>16</v>
      </c>
    </row>
    <row r="217" spans="1:10" x14ac:dyDescent="0.3">
      <c r="A217" t="s">
        <v>382</v>
      </c>
      <c r="B217" t="s">
        <v>61</v>
      </c>
      <c r="C217" t="s">
        <v>28</v>
      </c>
      <c r="D217">
        <v>2184.11</v>
      </c>
      <c r="E217">
        <v>20</v>
      </c>
      <c r="F217" t="s">
        <v>36</v>
      </c>
      <c r="G217" t="s">
        <v>14</v>
      </c>
      <c r="H217" t="s">
        <v>369</v>
      </c>
      <c r="I217">
        <v>1</v>
      </c>
      <c r="J217" t="s">
        <v>30</v>
      </c>
    </row>
    <row r="218" spans="1:10" x14ac:dyDescent="0.3">
      <c r="A218" t="s">
        <v>54</v>
      </c>
      <c r="B218" t="s">
        <v>201</v>
      </c>
      <c r="C218" t="s">
        <v>23</v>
      </c>
      <c r="D218">
        <v>1590.71</v>
      </c>
      <c r="E218">
        <v>47</v>
      </c>
      <c r="F218" t="s">
        <v>45</v>
      </c>
      <c r="G218" t="s">
        <v>25</v>
      </c>
      <c r="H218" t="s">
        <v>369</v>
      </c>
      <c r="I218">
        <v>0</v>
      </c>
      <c r="J218" t="s">
        <v>16</v>
      </c>
    </row>
    <row r="219" spans="1:10" x14ac:dyDescent="0.3">
      <c r="A219" t="s">
        <v>283</v>
      </c>
      <c r="B219" t="s">
        <v>383</v>
      </c>
      <c r="C219" t="s">
        <v>23</v>
      </c>
      <c r="D219">
        <v>3978.42</v>
      </c>
      <c r="E219">
        <v>11</v>
      </c>
      <c r="F219" t="s">
        <v>45</v>
      </c>
      <c r="G219" t="s">
        <v>14</v>
      </c>
      <c r="H219" t="s">
        <v>369</v>
      </c>
      <c r="I219">
        <v>1</v>
      </c>
      <c r="J219" t="s">
        <v>30</v>
      </c>
    </row>
    <row r="220" spans="1:10" x14ac:dyDescent="0.3">
      <c r="A220" t="s">
        <v>384</v>
      </c>
      <c r="B220" t="s">
        <v>18</v>
      </c>
      <c r="C220" t="s">
        <v>23</v>
      </c>
      <c r="D220">
        <v>2594.2600000000002</v>
      </c>
      <c r="E220">
        <v>17</v>
      </c>
      <c r="F220" t="s">
        <v>36</v>
      </c>
      <c r="G220" t="s">
        <v>46</v>
      </c>
      <c r="H220" t="s">
        <v>369</v>
      </c>
      <c r="I220">
        <v>0</v>
      </c>
      <c r="J220" t="s">
        <v>16</v>
      </c>
    </row>
    <row r="221" spans="1:10" x14ac:dyDescent="0.3">
      <c r="A221" t="s">
        <v>228</v>
      </c>
      <c r="B221" t="s">
        <v>291</v>
      </c>
      <c r="C221" t="s">
        <v>28</v>
      </c>
      <c r="D221">
        <v>4229.04</v>
      </c>
      <c r="E221">
        <v>9</v>
      </c>
      <c r="F221" t="s">
        <v>49</v>
      </c>
      <c r="G221" t="s">
        <v>20</v>
      </c>
      <c r="H221" t="s">
        <v>369</v>
      </c>
      <c r="I221">
        <v>1</v>
      </c>
      <c r="J221" t="s">
        <v>30</v>
      </c>
    </row>
    <row r="222" spans="1:10" x14ac:dyDescent="0.3">
      <c r="A222" t="s">
        <v>117</v>
      </c>
      <c r="B222" t="s">
        <v>385</v>
      </c>
      <c r="C222" t="s">
        <v>28</v>
      </c>
      <c r="D222">
        <v>673.57</v>
      </c>
      <c r="E222">
        <v>22</v>
      </c>
      <c r="F222" t="s">
        <v>36</v>
      </c>
      <c r="G222" t="s">
        <v>14</v>
      </c>
      <c r="H222" t="s">
        <v>369</v>
      </c>
      <c r="I222">
        <v>0</v>
      </c>
      <c r="J222" t="s">
        <v>16</v>
      </c>
    </row>
    <row r="223" spans="1:10" x14ac:dyDescent="0.3">
      <c r="A223" t="s">
        <v>386</v>
      </c>
      <c r="B223" t="s">
        <v>387</v>
      </c>
      <c r="C223" t="s">
        <v>35</v>
      </c>
      <c r="D223">
        <v>2378.48</v>
      </c>
      <c r="E223">
        <v>10</v>
      </c>
      <c r="F223" t="s">
        <v>36</v>
      </c>
      <c r="G223" t="s">
        <v>14</v>
      </c>
      <c r="H223" t="s">
        <v>369</v>
      </c>
      <c r="I223">
        <v>1</v>
      </c>
      <c r="J223" t="s">
        <v>30</v>
      </c>
    </row>
    <row r="224" spans="1:10" x14ac:dyDescent="0.3">
      <c r="A224" t="s">
        <v>388</v>
      </c>
      <c r="B224" t="s">
        <v>389</v>
      </c>
      <c r="C224" t="s">
        <v>23</v>
      </c>
      <c r="D224">
        <v>143.41</v>
      </c>
      <c r="E224">
        <v>21</v>
      </c>
      <c r="F224" t="s">
        <v>36</v>
      </c>
      <c r="G224" t="s">
        <v>25</v>
      </c>
      <c r="H224" t="s">
        <v>369</v>
      </c>
      <c r="I224">
        <v>0</v>
      </c>
      <c r="J224" t="s">
        <v>16</v>
      </c>
    </row>
    <row r="225" spans="1:10" x14ac:dyDescent="0.3">
      <c r="A225" t="s">
        <v>390</v>
      </c>
      <c r="B225" t="s">
        <v>94</v>
      </c>
      <c r="C225" t="s">
        <v>35</v>
      </c>
      <c r="D225">
        <v>4665.08</v>
      </c>
      <c r="E225">
        <v>34</v>
      </c>
      <c r="F225" t="s">
        <v>13</v>
      </c>
      <c r="G225" t="s">
        <v>25</v>
      </c>
      <c r="H225" t="s">
        <v>369</v>
      </c>
      <c r="I225">
        <v>0</v>
      </c>
      <c r="J225" t="s">
        <v>16</v>
      </c>
    </row>
    <row r="226" spans="1:10" x14ac:dyDescent="0.3">
      <c r="A226" t="s">
        <v>391</v>
      </c>
      <c r="B226" t="s">
        <v>392</v>
      </c>
      <c r="C226" t="s">
        <v>28</v>
      </c>
      <c r="D226">
        <v>3481.65</v>
      </c>
      <c r="E226">
        <v>47</v>
      </c>
      <c r="F226" t="s">
        <v>49</v>
      </c>
      <c r="G226" t="s">
        <v>58</v>
      </c>
      <c r="H226" t="s">
        <v>369</v>
      </c>
      <c r="I226">
        <v>0</v>
      </c>
      <c r="J226" t="s">
        <v>16</v>
      </c>
    </row>
    <row r="227" spans="1:10" x14ac:dyDescent="0.3">
      <c r="A227" t="s">
        <v>393</v>
      </c>
      <c r="B227" t="s">
        <v>385</v>
      </c>
      <c r="C227" t="s">
        <v>12</v>
      </c>
      <c r="D227">
        <v>2706.84</v>
      </c>
      <c r="E227">
        <v>46</v>
      </c>
      <c r="F227" t="s">
        <v>49</v>
      </c>
      <c r="G227" t="s">
        <v>25</v>
      </c>
      <c r="H227" t="s">
        <v>369</v>
      </c>
      <c r="I227">
        <v>1</v>
      </c>
      <c r="J227" t="s">
        <v>30</v>
      </c>
    </row>
    <row r="228" spans="1:10" x14ac:dyDescent="0.3">
      <c r="A228" t="s">
        <v>103</v>
      </c>
      <c r="B228" t="s">
        <v>146</v>
      </c>
      <c r="C228" t="s">
        <v>23</v>
      </c>
      <c r="D228">
        <v>2784.02</v>
      </c>
      <c r="E228">
        <v>13</v>
      </c>
      <c r="F228" t="s">
        <v>13</v>
      </c>
      <c r="G228" t="s">
        <v>25</v>
      </c>
      <c r="H228" t="s">
        <v>369</v>
      </c>
      <c r="I228">
        <v>0</v>
      </c>
      <c r="J228" t="s">
        <v>16</v>
      </c>
    </row>
    <row r="229" spans="1:10" x14ac:dyDescent="0.3">
      <c r="A229" t="s">
        <v>394</v>
      </c>
      <c r="B229" t="s">
        <v>395</v>
      </c>
      <c r="C229" t="s">
        <v>35</v>
      </c>
      <c r="D229">
        <v>1014.83</v>
      </c>
      <c r="E229">
        <v>47</v>
      </c>
      <c r="F229" t="s">
        <v>24</v>
      </c>
      <c r="G229" t="s">
        <v>14</v>
      </c>
      <c r="H229" t="s">
        <v>369</v>
      </c>
      <c r="I229">
        <v>0</v>
      </c>
      <c r="J229" t="s">
        <v>16</v>
      </c>
    </row>
    <row r="230" spans="1:10" x14ac:dyDescent="0.3">
      <c r="A230" t="s">
        <v>396</v>
      </c>
      <c r="B230" t="s">
        <v>397</v>
      </c>
      <c r="C230" t="s">
        <v>12</v>
      </c>
      <c r="D230">
        <v>3250.35</v>
      </c>
      <c r="E230">
        <v>12</v>
      </c>
      <c r="F230" t="s">
        <v>13</v>
      </c>
      <c r="G230" t="s">
        <v>25</v>
      </c>
      <c r="H230" t="s">
        <v>369</v>
      </c>
      <c r="I230">
        <v>1</v>
      </c>
      <c r="J230" t="s">
        <v>30</v>
      </c>
    </row>
    <row r="231" spans="1:10" x14ac:dyDescent="0.3">
      <c r="A231" t="s">
        <v>234</v>
      </c>
      <c r="B231" t="s">
        <v>398</v>
      </c>
      <c r="C231" t="s">
        <v>12</v>
      </c>
      <c r="D231">
        <v>2847.25</v>
      </c>
      <c r="E231">
        <v>21</v>
      </c>
      <c r="F231" t="s">
        <v>49</v>
      </c>
      <c r="G231" t="s">
        <v>46</v>
      </c>
      <c r="H231" t="s">
        <v>369</v>
      </c>
      <c r="I231">
        <v>1</v>
      </c>
      <c r="J231" t="s">
        <v>30</v>
      </c>
    </row>
    <row r="232" spans="1:10" x14ac:dyDescent="0.3">
      <c r="A232" t="s">
        <v>399</v>
      </c>
      <c r="B232" t="s">
        <v>400</v>
      </c>
      <c r="C232" t="s">
        <v>35</v>
      </c>
      <c r="D232">
        <v>982.21</v>
      </c>
      <c r="E232">
        <v>45</v>
      </c>
      <c r="F232" t="s">
        <v>49</v>
      </c>
      <c r="G232" t="s">
        <v>14</v>
      </c>
      <c r="H232" t="s">
        <v>369</v>
      </c>
      <c r="I232">
        <v>1</v>
      </c>
      <c r="J232" t="s">
        <v>30</v>
      </c>
    </row>
    <row r="233" spans="1:10" x14ac:dyDescent="0.3">
      <c r="A233" t="s">
        <v>401</v>
      </c>
      <c r="B233" t="s">
        <v>402</v>
      </c>
      <c r="C233" t="s">
        <v>35</v>
      </c>
      <c r="D233">
        <v>1457.63</v>
      </c>
      <c r="E233">
        <v>50</v>
      </c>
      <c r="F233" t="s">
        <v>24</v>
      </c>
      <c r="G233" t="s">
        <v>14</v>
      </c>
      <c r="H233" t="s">
        <v>369</v>
      </c>
      <c r="I233">
        <v>0</v>
      </c>
      <c r="J233" t="s">
        <v>16</v>
      </c>
    </row>
    <row r="234" spans="1:10" x14ac:dyDescent="0.3">
      <c r="A234" t="s">
        <v>200</v>
      </c>
      <c r="B234" t="s">
        <v>34</v>
      </c>
      <c r="C234" t="s">
        <v>35</v>
      </c>
      <c r="D234">
        <v>2925.72</v>
      </c>
      <c r="E234">
        <v>19</v>
      </c>
      <c r="F234" t="s">
        <v>19</v>
      </c>
      <c r="G234" t="s">
        <v>46</v>
      </c>
      <c r="H234" t="s">
        <v>369</v>
      </c>
      <c r="I234">
        <v>1</v>
      </c>
      <c r="J234" t="s">
        <v>30</v>
      </c>
    </row>
    <row r="235" spans="1:10" x14ac:dyDescent="0.3">
      <c r="A235" t="s">
        <v>403</v>
      </c>
      <c r="B235" t="s">
        <v>148</v>
      </c>
      <c r="C235" t="s">
        <v>12</v>
      </c>
      <c r="D235">
        <v>4159.3500000000004</v>
      </c>
      <c r="E235">
        <v>46</v>
      </c>
      <c r="F235" t="s">
        <v>19</v>
      </c>
      <c r="G235" t="s">
        <v>46</v>
      </c>
      <c r="H235" t="s">
        <v>369</v>
      </c>
      <c r="I235">
        <v>0</v>
      </c>
      <c r="J235" t="s">
        <v>16</v>
      </c>
    </row>
    <row r="236" spans="1:10" x14ac:dyDescent="0.3">
      <c r="A236" t="s">
        <v>159</v>
      </c>
      <c r="B236" t="s">
        <v>404</v>
      </c>
      <c r="C236" t="s">
        <v>35</v>
      </c>
      <c r="D236">
        <v>863.81</v>
      </c>
      <c r="E236">
        <v>37</v>
      </c>
      <c r="F236" t="s">
        <v>19</v>
      </c>
      <c r="G236" t="s">
        <v>58</v>
      </c>
      <c r="H236" t="s">
        <v>369</v>
      </c>
      <c r="I236">
        <v>0</v>
      </c>
      <c r="J236" t="s">
        <v>16</v>
      </c>
    </row>
    <row r="237" spans="1:10" x14ac:dyDescent="0.3">
      <c r="A237" t="s">
        <v>405</v>
      </c>
      <c r="B237" t="s">
        <v>406</v>
      </c>
      <c r="C237" t="s">
        <v>23</v>
      </c>
      <c r="D237">
        <v>4551.55</v>
      </c>
      <c r="E237">
        <v>19</v>
      </c>
      <c r="F237" t="s">
        <v>36</v>
      </c>
      <c r="G237" t="s">
        <v>20</v>
      </c>
      <c r="H237" t="s">
        <v>369</v>
      </c>
      <c r="I237">
        <v>1</v>
      </c>
      <c r="J237" t="s">
        <v>30</v>
      </c>
    </row>
    <row r="238" spans="1:10" x14ac:dyDescent="0.3">
      <c r="A238" t="s">
        <v>218</v>
      </c>
      <c r="B238" t="s">
        <v>190</v>
      </c>
      <c r="C238" t="s">
        <v>23</v>
      </c>
      <c r="D238">
        <v>3461.38</v>
      </c>
      <c r="E238">
        <v>30</v>
      </c>
      <c r="F238" t="s">
        <v>24</v>
      </c>
      <c r="G238" t="s">
        <v>58</v>
      </c>
      <c r="H238" t="s">
        <v>369</v>
      </c>
      <c r="I238">
        <v>1</v>
      </c>
      <c r="J238" t="s">
        <v>30</v>
      </c>
    </row>
    <row r="239" spans="1:10" x14ac:dyDescent="0.3">
      <c r="A239" t="s">
        <v>407</v>
      </c>
      <c r="B239" t="s">
        <v>408</v>
      </c>
      <c r="C239" t="s">
        <v>12</v>
      </c>
      <c r="D239">
        <v>410.03</v>
      </c>
      <c r="E239">
        <v>9</v>
      </c>
      <c r="F239" t="s">
        <v>24</v>
      </c>
      <c r="G239" t="s">
        <v>25</v>
      </c>
      <c r="H239" t="s">
        <v>369</v>
      </c>
      <c r="I239">
        <v>0</v>
      </c>
      <c r="J239" t="s">
        <v>16</v>
      </c>
    </row>
    <row r="240" spans="1:10" x14ac:dyDescent="0.3">
      <c r="A240" t="s">
        <v>409</v>
      </c>
      <c r="B240" t="s">
        <v>410</v>
      </c>
      <c r="C240" t="s">
        <v>12</v>
      </c>
      <c r="D240">
        <v>1662.8</v>
      </c>
      <c r="E240">
        <v>8</v>
      </c>
      <c r="F240" t="s">
        <v>49</v>
      </c>
      <c r="G240" t="s">
        <v>58</v>
      </c>
      <c r="H240" t="s">
        <v>369</v>
      </c>
      <c r="I240">
        <v>1</v>
      </c>
      <c r="J240" t="s">
        <v>30</v>
      </c>
    </row>
    <row r="241" spans="1:10" x14ac:dyDescent="0.3">
      <c r="A241" t="s">
        <v>411</v>
      </c>
      <c r="B241" t="s">
        <v>412</v>
      </c>
      <c r="C241" t="s">
        <v>12</v>
      </c>
      <c r="D241">
        <v>2656.18</v>
      </c>
      <c r="E241">
        <v>24</v>
      </c>
      <c r="F241" t="s">
        <v>19</v>
      </c>
      <c r="G241" t="s">
        <v>29</v>
      </c>
      <c r="H241" t="s">
        <v>369</v>
      </c>
      <c r="I241">
        <v>1</v>
      </c>
      <c r="J241" t="s">
        <v>30</v>
      </c>
    </row>
    <row r="242" spans="1:10" x14ac:dyDescent="0.3">
      <c r="A242" t="s">
        <v>361</v>
      </c>
      <c r="B242" t="s">
        <v>413</v>
      </c>
      <c r="C242" t="s">
        <v>12</v>
      </c>
      <c r="D242">
        <v>2026.84</v>
      </c>
      <c r="E242">
        <v>44</v>
      </c>
      <c r="F242" t="s">
        <v>24</v>
      </c>
      <c r="G242" t="s">
        <v>29</v>
      </c>
      <c r="H242" t="s">
        <v>369</v>
      </c>
      <c r="I242">
        <v>0</v>
      </c>
      <c r="J242" t="s">
        <v>16</v>
      </c>
    </row>
    <row r="243" spans="1:10" x14ac:dyDescent="0.3">
      <c r="A243" t="s">
        <v>414</v>
      </c>
      <c r="B243" t="s">
        <v>34</v>
      </c>
      <c r="C243" t="s">
        <v>23</v>
      </c>
      <c r="D243">
        <v>2005.42</v>
      </c>
      <c r="E243">
        <v>15</v>
      </c>
      <c r="F243" t="s">
        <v>49</v>
      </c>
      <c r="G243" t="s">
        <v>14</v>
      </c>
      <c r="H243" t="s">
        <v>369</v>
      </c>
      <c r="I243">
        <v>0</v>
      </c>
      <c r="J243" t="s">
        <v>16</v>
      </c>
    </row>
    <row r="244" spans="1:10" x14ac:dyDescent="0.3">
      <c r="A244" t="s">
        <v>415</v>
      </c>
      <c r="B244" t="s">
        <v>416</v>
      </c>
      <c r="C244" t="s">
        <v>28</v>
      </c>
      <c r="D244">
        <v>3276.8</v>
      </c>
      <c r="E244">
        <v>41</v>
      </c>
      <c r="F244" t="s">
        <v>19</v>
      </c>
      <c r="G244" t="s">
        <v>14</v>
      </c>
      <c r="H244" t="s">
        <v>369</v>
      </c>
      <c r="I244">
        <v>1</v>
      </c>
      <c r="J244" t="s">
        <v>30</v>
      </c>
    </row>
    <row r="245" spans="1:10" x14ac:dyDescent="0.3">
      <c r="A245" t="s">
        <v>417</v>
      </c>
      <c r="B245" t="s">
        <v>418</v>
      </c>
      <c r="C245" t="s">
        <v>35</v>
      </c>
      <c r="D245">
        <v>4687.1899999999996</v>
      </c>
      <c r="E245">
        <v>25</v>
      </c>
      <c r="F245" t="s">
        <v>19</v>
      </c>
      <c r="G245" t="s">
        <v>25</v>
      </c>
      <c r="H245" t="s">
        <v>369</v>
      </c>
      <c r="I245">
        <v>0</v>
      </c>
      <c r="J245" t="s">
        <v>16</v>
      </c>
    </row>
    <row r="246" spans="1:10" x14ac:dyDescent="0.3">
      <c r="A246" t="s">
        <v>419</v>
      </c>
      <c r="B246" t="s">
        <v>313</v>
      </c>
      <c r="C246" t="s">
        <v>23</v>
      </c>
      <c r="D246">
        <v>3620.07</v>
      </c>
      <c r="E246">
        <v>3</v>
      </c>
      <c r="F246" t="s">
        <v>49</v>
      </c>
      <c r="G246" t="s">
        <v>29</v>
      </c>
      <c r="H246" t="s">
        <v>369</v>
      </c>
      <c r="I246">
        <v>0</v>
      </c>
      <c r="J246" t="s">
        <v>16</v>
      </c>
    </row>
    <row r="247" spans="1:10" x14ac:dyDescent="0.3">
      <c r="A247" t="s">
        <v>420</v>
      </c>
      <c r="B247" t="s">
        <v>257</v>
      </c>
      <c r="C247" t="s">
        <v>35</v>
      </c>
      <c r="D247">
        <v>761.64</v>
      </c>
      <c r="E247">
        <v>36</v>
      </c>
      <c r="F247" t="s">
        <v>36</v>
      </c>
      <c r="G247" t="s">
        <v>46</v>
      </c>
      <c r="H247" t="s">
        <v>369</v>
      </c>
      <c r="I247">
        <v>0</v>
      </c>
      <c r="J247" t="s">
        <v>16</v>
      </c>
    </row>
    <row r="248" spans="1:10" x14ac:dyDescent="0.3">
      <c r="A248" t="s">
        <v>421</v>
      </c>
      <c r="B248" t="s">
        <v>138</v>
      </c>
      <c r="C248" t="s">
        <v>28</v>
      </c>
      <c r="D248">
        <v>3686.97</v>
      </c>
      <c r="E248">
        <v>20</v>
      </c>
      <c r="F248" t="s">
        <v>19</v>
      </c>
      <c r="G248" t="s">
        <v>20</v>
      </c>
      <c r="H248" t="s">
        <v>369</v>
      </c>
      <c r="I248">
        <v>0</v>
      </c>
      <c r="J248" t="s">
        <v>16</v>
      </c>
    </row>
    <row r="249" spans="1:10" x14ac:dyDescent="0.3">
      <c r="A249" t="s">
        <v>422</v>
      </c>
      <c r="B249" t="s">
        <v>190</v>
      </c>
      <c r="C249" t="s">
        <v>12</v>
      </c>
      <c r="D249">
        <v>87.71</v>
      </c>
      <c r="E249">
        <v>20</v>
      </c>
      <c r="F249" t="s">
        <v>36</v>
      </c>
      <c r="G249" t="s">
        <v>14</v>
      </c>
      <c r="H249" t="s">
        <v>369</v>
      </c>
      <c r="I249">
        <v>0</v>
      </c>
      <c r="J249" t="s">
        <v>16</v>
      </c>
    </row>
    <row r="250" spans="1:10" x14ac:dyDescent="0.3">
      <c r="A250" t="s">
        <v>99</v>
      </c>
      <c r="B250" t="s">
        <v>423</v>
      </c>
      <c r="C250" t="s">
        <v>12</v>
      </c>
      <c r="D250">
        <v>3456.67</v>
      </c>
      <c r="E250">
        <v>30</v>
      </c>
      <c r="F250" t="s">
        <v>45</v>
      </c>
      <c r="G250" t="s">
        <v>14</v>
      </c>
      <c r="H250" t="s">
        <v>369</v>
      </c>
      <c r="I250">
        <v>1</v>
      </c>
      <c r="J250" t="s">
        <v>30</v>
      </c>
    </row>
    <row r="251" spans="1:10" x14ac:dyDescent="0.3">
      <c r="A251" t="s">
        <v>371</v>
      </c>
      <c r="B251" t="s">
        <v>424</v>
      </c>
      <c r="C251" t="s">
        <v>12</v>
      </c>
      <c r="D251">
        <v>3246.58</v>
      </c>
      <c r="E251">
        <v>36</v>
      </c>
      <c r="F251" t="s">
        <v>19</v>
      </c>
      <c r="G251" t="s">
        <v>14</v>
      </c>
      <c r="H251" t="s">
        <v>369</v>
      </c>
      <c r="I251">
        <v>0</v>
      </c>
      <c r="J251" t="s">
        <v>16</v>
      </c>
    </row>
    <row r="252" spans="1:10" x14ac:dyDescent="0.3">
      <c r="A252" t="s">
        <v>425</v>
      </c>
      <c r="B252" t="s">
        <v>227</v>
      </c>
      <c r="C252" t="s">
        <v>35</v>
      </c>
      <c r="D252">
        <v>3324.77</v>
      </c>
      <c r="E252">
        <v>20</v>
      </c>
      <c r="F252" t="s">
        <v>13</v>
      </c>
      <c r="G252" t="s">
        <v>29</v>
      </c>
      <c r="H252" t="s">
        <v>369</v>
      </c>
      <c r="I252">
        <v>1</v>
      </c>
      <c r="J252" t="s">
        <v>30</v>
      </c>
    </row>
    <row r="253" spans="1:10" x14ac:dyDescent="0.3">
      <c r="A253" t="s">
        <v>234</v>
      </c>
      <c r="B253" t="s">
        <v>426</v>
      </c>
      <c r="C253" t="s">
        <v>35</v>
      </c>
      <c r="D253">
        <v>4174.22</v>
      </c>
      <c r="E253">
        <v>46</v>
      </c>
      <c r="F253" t="s">
        <v>24</v>
      </c>
      <c r="G253" t="s">
        <v>20</v>
      </c>
      <c r="H253" t="s">
        <v>369</v>
      </c>
      <c r="I253">
        <v>0</v>
      </c>
      <c r="J253" t="s">
        <v>16</v>
      </c>
    </row>
    <row r="254" spans="1:10" x14ac:dyDescent="0.3">
      <c r="A254" t="s">
        <v>427</v>
      </c>
      <c r="B254" t="s">
        <v>416</v>
      </c>
      <c r="C254" t="s">
        <v>12</v>
      </c>
      <c r="D254">
        <v>1515.8</v>
      </c>
      <c r="E254">
        <v>24</v>
      </c>
      <c r="F254" t="s">
        <v>49</v>
      </c>
      <c r="G254" t="s">
        <v>29</v>
      </c>
      <c r="H254" t="s">
        <v>369</v>
      </c>
      <c r="I254">
        <v>1</v>
      </c>
      <c r="J254" t="s">
        <v>30</v>
      </c>
    </row>
    <row r="255" spans="1:10" x14ac:dyDescent="0.3">
      <c r="A255" t="s">
        <v>428</v>
      </c>
      <c r="B255" t="s">
        <v>429</v>
      </c>
      <c r="C255" t="s">
        <v>12</v>
      </c>
      <c r="D255">
        <v>2235.9699999999998</v>
      </c>
      <c r="E255">
        <v>30</v>
      </c>
      <c r="F255" t="s">
        <v>49</v>
      </c>
      <c r="G255" t="s">
        <v>46</v>
      </c>
      <c r="H255" t="s">
        <v>369</v>
      </c>
      <c r="I255">
        <v>0</v>
      </c>
      <c r="J255" t="s">
        <v>16</v>
      </c>
    </row>
    <row r="256" spans="1:10" x14ac:dyDescent="0.3">
      <c r="A256" t="s">
        <v>430</v>
      </c>
      <c r="B256" t="s">
        <v>431</v>
      </c>
      <c r="C256" t="s">
        <v>28</v>
      </c>
      <c r="D256">
        <v>1520.7</v>
      </c>
      <c r="E256">
        <v>43</v>
      </c>
      <c r="F256" t="s">
        <v>49</v>
      </c>
      <c r="G256" t="s">
        <v>46</v>
      </c>
      <c r="H256" t="s">
        <v>369</v>
      </c>
      <c r="I256">
        <v>0</v>
      </c>
      <c r="J256" t="s">
        <v>16</v>
      </c>
    </row>
    <row r="257" spans="1:10" x14ac:dyDescent="0.3">
      <c r="A257" t="s">
        <v>171</v>
      </c>
      <c r="B257" t="s">
        <v>432</v>
      </c>
      <c r="C257" t="s">
        <v>12</v>
      </c>
      <c r="D257">
        <v>1202.3699999999999</v>
      </c>
      <c r="E257">
        <v>5</v>
      </c>
      <c r="F257" t="s">
        <v>24</v>
      </c>
      <c r="G257" t="s">
        <v>58</v>
      </c>
      <c r="H257" t="s">
        <v>369</v>
      </c>
      <c r="I257">
        <v>1</v>
      </c>
      <c r="J257" t="s">
        <v>30</v>
      </c>
    </row>
    <row r="258" spans="1:10" x14ac:dyDescent="0.3">
      <c r="A258" t="s">
        <v>208</v>
      </c>
      <c r="B258" t="s">
        <v>433</v>
      </c>
      <c r="C258" t="s">
        <v>12</v>
      </c>
      <c r="D258">
        <v>4591.16</v>
      </c>
      <c r="E258">
        <v>8</v>
      </c>
      <c r="F258" t="s">
        <v>49</v>
      </c>
      <c r="G258" t="s">
        <v>20</v>
      </c>
      <c r="H258" t="s">
        <v>369</v>
      </c>
      <c r="I258">
        <v>1</v>
      </c>
      <c r="J258" t="s">
        <v>30</v>
      </c>
    </row>
    <row r="259" spans="1:10" x14ac:dyDescent="0.3">
      <c r="A259" t="s">
        <v>434</v>
      </c>
      <c r="B259" t="s">
        <v>243</v>
      </c>
      <c r="C259" t="s">
        <v>23</v>
      </c>
      <c r="D259">
        <v>2807.01</v>
      </c>
      <c r="E259">
        <v>25</v>
      </c>
      <c r="F259" t="s">
        <v>45</v>
      </c>
      <c r="G259" t="s">
        <v>25</v>
      </c>
      <c r="H259" t="s">
        <v>369</v>
      </c>
      <c r="I259">
        <v>1</v>
      </c>
      <c r="J259" t="s">
        <v>30</v>
      </c>
    </row>
    <row r="260" spans="1:10" x14ac:dyDescent="0.3">
      <c r="A260" t="s">
        <v>165</v>
      </c>
      <c r="B260" t="s">
        <v>164</v>
      </c>
      <c r="C260" t="s">
        <v>35</v>
      </c>
      <c r="D260">
        <v>1363.26</v>
      </c>
      <c r="E260">
        <v>35</v>
      </c>
      <c r="F260" t="s">
        <v>45</v>
      </c>
      <c r="G260" t="s">
        <v>20</v>
      </c>
      <c r="H260" t="s">
        <v>369</v>
      </c>
      <c r="I260">
        <v>1</v>
      </c>
      <c r="J260" t="s">
        <v>30</v>
      </c>
    </row>
    <row r="261" spans="1:10" x14ac:dyDescent="0.3">
      <c r="A261" t="s">
        <v>435</v>
      </c>
      <c r="B261" t="s">
        <v>436</v>
      </c>
      <c r="C261" t="s">
        <v>28</v>
      </c>
      <c r="D261">
        <v>587.61</v>
      </c>
      <c r="E261">
        <v>43</v>
      </c>
      <c r="F261" t="s">
        <v>24</v>
      </c>
      <c r="G261" t="s">
        <v>25</v>
      </c>
      <c r="H261" t="s">
        <v>369</v>
      </c>
      <c r="I261">
        <v>1</v>
      </c>
      <c r="J261" t="s">
        <v>30</v>
      </c>
    </row>
    <row r="262" spans="1:10" x14ac:dyDescent="0.3">
      <c r="A262" t="s">
        <v>281</v>
      </c>
      <c r="B262" t="s">
        <v>116</v>
      </c>
      <c r="C262" t="s">
        <v>28</v>
      </c>
      <c r="D262">
        <v>1576.2</v>
      </c>
      <c r="E262">
        <v>2</v>
      </c>
      <c r="F262" t="s">
        <v>24</v>
      </c>
      <c r="G262" t="s">
        <v>14</v>
      </c>
      <c r="H262" t="s">
        <v>369</v>
      </c>
      <c r="I262">
        <v>0</v>
      </c>
      <c r="J262" t="s">
        <v>16</v>
      </c>
    </row>
    <row r="263" spans="1:10" x14ac:dyDescent="0.3">
      <c r="A263" t="s">
        <v>437</v>
      </c>
      <c r="B263" t="s">
        <v>438</v>
      </c>
      <c r="C263" t="s">
        <v>35</v>
      </c>
      <c r="D263">
        <v>4476.8900000000003</v>
      </c>
      <c r="E263">
        <v>30</v>
      </c>
      <c r="F263" t="s">
        <v>45</v>
      </c>
      <c r="G263" t="s">
        <v>58</v>
      </c>
      <c r="H263" t="s">
        <v>369</v>
      </c>
      <c r="I263">
        <v>1</v>
      </c>
      <c r="J263" t="s">
        <v>30</v>
      </c>
    </row>
    <row r="264" spans="1:10" x14ac:dyDescent="0.3">
      <c r="A264" t="s">
        <v>439</v>
      </c>
      <c r="B264" t="s">
        <v>440</v>
      </c>
      <c r="C264" t="s">
        <v>12</v>
      </c>
      <c r="D264">
        <v>2656.95</v>
      </c>
      <c r="E264">
        <v>9</v>
      </c>
      <c r="F264" t="s">
        <v>19</v>
      </c>
      <c r="G264" t="s">
        <v>14</v>
      </c>
      <c r="H264" t="s">
        <v>369</v>
      </c>
      <c r="I264">
        <v>0</v>
      </c>
      <c r="J264" t="s">
        <v>16</v>
      </c>
    </row>
    <row r="265" spans="1:10" x14ac:dyDescent="0.3">
      <c r="A265" t="s">
        <v>441</v>
      </c>
      <c r="B265" t="s">
        <v>287</v>
      </c>
      <c r="C265" t="s">
        <v>23</v>
      </c>
      <c r="D265">
        <v>1516.46</v>
      </c>
      <c r="E265">
        <v>40</v>
      </c>
      <c r="F265" t="s">
        <v>24</v>
      </c>
      <c r="G265" t="s">
        <v>14</v>
      </c>
      <c r="H265" t="s">
        <v>369</v>
      </c>
      <c r="I265">
        <v>1</v>
      </c>
      <c r="J265" t="s">
        <v>30</v>
      </c>
    </row>
    <row r="266" spans="1:10" x14ac:dyDescent="0.3">
      <c r="A266" t="s">
        <v>361</v>
      </c>
      <c r="B266" t="s">
        <v>442</v>
      </c>
      <c r="C266" t="s">
        <v>35</v>
      </c>
      <c r="D266">
        <v>849.35</v>
      </c>
      <c r="E266">
        <v>43</v>
      </c>
      <c r="F266" t="s">
        <v>19</v>
      </c>
      <c r="G266" t="s">
        <v>58</v>
      </c>
      <c r="H266" t="s">
        <v>369</v>
      </c>
      <c r="I266">
        <v>1</v>
      </c>
      <c r="J266" t="s">
        <v>30</v>
      </c>
    </row>
    <row r="267" spans="1:10" x14ac:dyDescent="0.3">
      <c r="A267" t="s">
        <v>443</v>
      </c>
      <c r="B267" t="s">
        <v>429</v>
      </c>
      <c r="C267" t="s">
        <v>28</v>
      </c>
      <c r="D267">
        <v>2437.38</v>
      </c>
      <c r="E267">
        <v>36</v>
      </c>
      <c r="F267" t="s">
        <v>24</v>
      </c>
      <c r="G267" t="s">
        <v>58</v>
      </c>
      <c r="H267" t="s">
        <v>369</v>
      </c>
      <c r="I267">
        <v>1</v>
      </c>
      <c r="J267" t="s">
        <v>30</v>
      </c>
    </row>
    <row r="268" spans="1:10" x14ac:dyDescent="0.3">
      <c r="A268" t="s">
        <v>153</v>
      </c>
      <c r="B268" t="s">
        <v>120</v>
      </c>
      <c r="C268" t="s">
        <v>12</v>
      </c>
      <c r="D268">
        <v>1057.1400000000001</v>
      </c>
      <c r="E268">
        <v>45</v>
      </c>
      <c r="F268" t="s">
        <v>24</v>
      </c>
      <c r="G268" t="s">
        <v>14</v>
      </c>
      <c r="H268" t="s">
        <v>369</v>
      </c>
      <c r="I268">
        <v>1</v>
      </c>
      <c r="J268" t="s">
        <v>30</v>
      </c>
    </row>
    <row r="269" spans="1:10" x14ac:dyDescent="0.3">
      <c r="A269" t="s">
        <v>226</v>
      </c>
      <c r="B269" t="s">
        <v>69</v>
      </c>
      <c r="C269" t="s">
        <v>12</v>
      </c>
      <c r="D269">
        <v>3602.42</v>
      </c>
      <c r="E269">
        <v>5</v>
      </c>
      <c r="F269" t="s">
        <v>24</v>
      </c>
      <c r="G269" t="s">
        <v>58</v>
      </c>
      <c r="H269" t="s">
        <v>369</v>
      </c>
      <c r="I269">
        <v>1</v>
      </c>
      <c r="J269" t="s">
        <v>30</v>
      </c>
    </row>
    <row r="270" spans="1:10" x14ac:dyDescent="0.3">
      <c r="A270" t="s">
        <v>444</v>
      </c>
      <c r="B270" t="s">
        <v>445</v>
      </c>
      <c r="C270" t="s">
        <v>35</v>
      </c>
      <c r="D270">
        <v>2750.5</v>
      </c>
      <c r="E270">
        <v>4</v>
      </c>
      <c r="F270" t="s">
        <v>24</v>
      </c>
      <c r="G270" t="s">
        <v>46</v>
      </c>
      <c r="H270" t="s">
        <v>369</v>
      </c>
      <c r="I270">
        <v>0</v>
      </c>
      <c r="J270" t="s">
        <v>16</v>
      </c>
    </row>
    <row r="271" spans="1:10" x14ac:dyDescent="0.3">
      <c r="A271" t="s">
        <v>245</v>
      </c>
      <c r="B271" t="s">
        <v>326</v>
      </c>
      <c r="C271" t="s">
        <v>28</v>
      </c>
      <c r="D271">
        <v>4885.75</v>
      </c>
      <c r="E271">
        <v>32</v>
      </c>
      <c r="F271" t="s">
        <v>45</v>
      </c>
      <c r="G271" t="s">
        <v>20</v>
      </c>
      <c r="H271" t="s">
        <v>369</v>
      </c>
      <c r="I271">
        <v>0</v>
      </c>
      <c r="J271" t="s">
        <v>16</v>
      </c>
    </row>
    <row r="272" spans="1:10" x14ac:dyDescent="0.3">
      <c r="A272" t="s">
        <v>446</v>
      </c>
      <c r="B272" t="s">
        <v>104</v>
      </c>
      <c r="C272" t="s">
        <v>12</v>
      </c>
      <c r="D272">
        <v>4618.16</v>
      </c>
      <c r="E272">
        <v>35</v>
      </c>
      <c r="F272" t="s">
        <v>19</v>
      </c>
      <c r="G272" t="s">
        <v>25</v>
      </c>
      <c r="H272" t="s">
        <v>369</v>
      </c>
      <c r="I272">
        <v>0</v>
      </c>
      <c r="J272" t="s">
        <v>16</v>
      </c>
    </row>
    <row r="273" spans="1:10" x14ac:dyDescent="0.3">
      <c r="A273" t="s">
        <v>447</v>
      </c>
      <c r="B273" t="s">
        <v>448</v>
      </c>
      <c r="C273" t="s">
        <v>35</v>
      </c>
      <c r="D273">
        <v>223.65</v>
      </c>
      <c r="E273">
        <v>50</v>
      </c>
      <c r="F273" t="s">
        <v>45</v>
      </c>
      <c r="G273" t="s">
        <v>14</v>
      </c>
      <c r="H273" t="s">
        <v>369</v>
      </c>
      <c r="I273">
        <v>1</v>
      </c>
      <c r="J273" t="s">
        <v>30</v>
      </c>
    </row>
    <row r="274" spans="1:10" x14ac:dyDescent="0.3">
      <c r="A274" t="s">
        <v>123</v>
      </c>
      <c r="B274" t="s">
        <v>449</v>
      </c>
      <c r="C274" t="s">
        <v>23</v>
      </c>
      <c r="D274">
        <v>4486.8999999999996</v>
      </c>
      <c r="E274">
        <v>10</v>
      </c>
      <c r="F274" t="s">
        <v>45</v>
      </c>
      <c r="G274" t="s">
        <v>20</v>
      </c>
      <c r="H274" t="s">
        <v>369</v>
      </c>
      <c r="I274">
        <v>0</v>
      </c>
      <c r="J274" t="s">
        <v>16</v>
      </c>
    </row>
    <row r="275" spans="1:10" x14ac:dyDescent="0.3">
      <c r="A275" t="s">
        <v>450</v>
      </c>
      <c r="B275" t="s">
        <v>451</v>
      </c>
      <c r="C275" t="s">
        <v>28</v>
      </c>
      <c r="D275">
        <v>4831.82</v>
      </c>
      <c r="E275">
        <v>13</v>
      </c>
      <c r="F275" t="s">
        <v>45</v>
      </c>
      <c r="G275" t="s">
        <v>20</v>
      </c>
      <c r="H275" t="s">
        <v>369</v>
      </c>
      <c r="I275">
        <v>0</v>
      </c>
      <c r="J275" t="s">
        <v>16</v>
      </c>
    </row>
    <row r="276" spans="1:10" x14ac:dyDescent="0.3">
      <c r="A276" t="s">
        <v>251</v>
      </c>
      <c r="B276" t="s">
        <v>368</v>
      </c>
      <c r="C276" t="s">
        <v>28</v>
      </c>
      <c r="D276">
        <v>3621.45</v>
      </c>
      <c r="E276">
        <v>20</v>
      </c>
      <c r="F276" t="s">
        <v>13</v>
      </c>
      <c r="G276" t="s">
        <v>14</v>
      </c>
      <c r="H276" t="s">
        <v>369</v>
      </c>
      <c r="I276">
        <v>1</v>
      </c>
      <c r="J276" t="s">
        <v>30</v>
      </c>
    </row>
    <row r="277" spans="1:10" x14ac:dyDescent="0.3">
      <c r="A277" t="s">
        <v>135</v>
      </c>
      <c r="B277" t="s">
        <v>378</v>
      </c>
      <c r="C277" t="s">
        <v>28</v>
      </c>
      <c r="D277">
        <v>4663.4799999999996</v>
      </c>
      <c r="E277">
        <v>9</v>
      </c>
      <c r="F277" t="s">
        <v>24</v>
      </c>
      <c r="G277" t="s">
        <v>14</v>
      </c>
      <c r="H277" t="s">
        <v>369</v>
      </c>
      <c r="I277">
        <v>1</v>
      </c>
      <c r="J277" t="s">
        <v>30</v>
      </c>
    </row>
    <row r="278" spans="1:10" x14ac:dyDescent="0.3">
      <c r="A278" t="s">
        <v>31</v>
      </c>
      <c r="B278" t="s">
        <v>301</v>
      </c>
      <c r="C278" t="s">
        <v>23</v>
      </c>
      <c r="D278">
        <v>4693.09</v>
      </c>
      <c r="E278">
        <v>23</v>
      </c>
      <c r="F278" t="s">
        <v>24</v>
      </c>
      <c r="G278" t="s">
        <v>14</v>
      </c>
      <c r="H278" t="s">
        <v>369</v>
      </c>
      <c r="I278">
        <v>0</v>
      </c>
      <c r="J278" t="s">
        <v>16</v>
      </c>
    </row>
    <row r="279" spans="1:10" x14ac:dyDescent="0.3">
      <c r="A279" t="s">
        <v>452</v>
      </c>
      <c r="B279" t="s">
        <v>442</v>
      </c>
      <c r="C279" t="s">
        <v>28</v>
      </c>
      <c r="D279">
        <v>3035.98</v>
      </c>
      <c r="E279">
        <v>37</v>
      </c>
      <c r="F279" t="s">
        <v>49</v>
      </c>
      <c r="G279" t="s">
        <v>14</v>
      </c>
      <c r="H279" t="s">
        <v>369</v>
      </c>
      <c r="I279">
        <v>1</v>
      </c>
      <c r="J279" t="s">
        <v>30</v>
      </c>
    </row>
    <row r="280" spans="1:10" x14ac:dyDescent="0.3">
      <c r="A280" t="s">
        <v>453</v>
      </c>
      <c r="B280" t="s">
        <v>454</v>
      </c>
      <c r="C280" t="s">
        <v>35</v>
      </c>
      <c r="D280">
        <v>4254.3999999999996</v>
      </c>
      <c r="E280">
        <v>36</v>
      </c>
      <c r="F280" t="s">
        <v>13</v>
      </c>
      <c r="G280" t="s">
        <v>14</v>
      </c>
      <c r="H280" t="s">
        <v>369</v>
      </c>
      <c r="I280">
        <v>1</v>
      </c>
      <c r="J280" t="s">
        <v>30</v>
      </c>
    </row>
    <row r="281" spans="1:10" x14ac:dyDescent="0.3">
      <c r="A281" t="s">
        <v>455</v>
      </c>
      <c r="B281" t="s">
        <v>413</v>
      </c>
      <c r="C281" t="s">
        <v>23</v>
      </c>
      <c r="D281">
        <v>3089.66</v>
      </c>
      <c r="E281">
        <v>31</v>
      </c>
      <c r="F281" t="s">
        <v>45</v>
      </c>
      <c r="G281" t="s">
        <v>58</v>
      </c>
      <c r="H281" t="s">
        <v>369</v>
      </c>
      <c r="I281">
        <v>1</v>
      </c>
      <c r="J281" t="s">
        <v>30</v>
      </c>
    </row>
    <row r="282" spans="1:10" x14ac:dyDescent="0.3">
      <c r="A282" t="s">
        <v>456</v>
      </c>
      <c r="B282" t="s">
        <v>457</v>
      </c>
      <c r="C282" t="s">
        <v>12</v>
      </c>
      <c r="D282">
        <v>502.44</v>
      </c>
      <c r="E282">
        <v>1</v>
      </c>
      <c r="F282" t="s">
        <v>45</v>
      </c>
      <c r="G282" t="s">
        <v>25</v>
      </c>
      <c r="H282" t="s">
        <v>369</v>
      </c>
      <c r="I282">
        <v>1</v>
      </c>
      <c r="J282" t="s">
        <v>30</v>
      </c>
    </row>
    <row r="283" spans="1:10" x14ac:dyDescent="0.3">
      <c r="A283" t="s">
        <v>458</v>
      </c>
      <c r="B283" t="s">
        <v>267</v>
      </c>
      <c r="C283" t="s">
        <v>23</v>
      </c>
      <c r="D283">
        <v>3608.64</v>
      </c>
      <c r="E283">
        <v>7</v>
      </c>
      <c r="F283" t="s">
        <v>24</v>
      </c>
      <c r="G283" t="s">
        <v>46</v>
      </c>
      <c r="H283" t="s">
        <v>369</v>
      </c>
      <c r="I283">
        <v>0</v>
      </c>
      <c r="J283" t="s">
        <v>16</v>
      </c>
    </row>
    <row r="284" spans="1:10" x14ac:dyDescent="0.3">
      <c r="A284" t="s">
        <v>459</v>
      </c>
      <c r="B284" t="s">
        <v>460</v>
      </c>
      <c r="C284" t="s">
        <v>23</v>
      </c>
      <c r="D284">
        <v>1166.32</v>
      </c>
      <c r="E284">
        <v>20</v>
      </c>
      <c r="F284" t="s">
        <v>36</v>
      </c>
      <c r="G284" t="s">
        <v>14</v>
      </c>
      <c r="H284" t="s">
        <v>369</v>
      </c>
      <c r="I284">
        <v>0</v>
      </c>
      <c r="J284" t="s">
        <v>16</v>
      </c>
    </row>
    <row r="285" spans="1:10" x14ac:dyDescent="0.3">
      <c r="A285" t="s">
        <v>461</v>
      </c>
      <c r="B285" t="s">
        <v>462</v>
      </c>
      <c r="C285" t="s">
        <v>12</v>
      </c>
      <c r="D285">
        <v>4807.79</v>
      </c>
      <c r="E285">
        <v>14</v>
      </c>
      <c r="F285" t="s">
        <v>24</v>
      </c>
      <c r="G285" t="s">
        <v>58</v>
      </c>
      <c r="H285" t="s">
        <v>369</v>
      </c>
      <c r="I285">
        <v>0</v>
      </c>
      <c r="J285" t="s">
        <v>16</v>
      </c>
    </row>
    <row r="286" spans="1:10" x14ac:dyDescent="0.3">
      <c r="A286" t="s">
        <v>463</v>
      </c>
      <c r="B286" t="s">
        <v>57</v>
      </c>
      <c r="C286" t="s">
        <v>12</v>
      </c>
      <c r="D286">
        <v>4926.08</v>
      </c>
      <c r="E286">
        <v>36</v>
      </c>
      <c r="F286" t="s">
        <v>45</v>
      </c>
      <c r="G286" t="s">
        <v>20</v>
      </c>
      <c r="H286" t="s">
        <v>369</v>
      </c>
      <c r="I286">
        <v>0</v>
      </c>
      <c r="J286" t="s">
        <v>16</v>
      </c>
    </row>
    <row r="287" spans="1:10" x14ac:dyDescent="0.3">
      <c r="A287" t="s">
        <v>314</v>
      </c>
      <c r="B287" t="s">
        <v>464</v>
      </c>
      <c r="C287" t="s">
        <v>35</v>
      </c>
      <c r="D287">
        <v>3442.26</v>
      </c>
      <c r="E287">
        <v>34</v>
      </c>
      <c r="F287" t="s">
        <v>49</v>
      </c>
      <c r="G287" t="s">
        <v>14</v>
      </c>
      <c r="H287" t="s">
        <v>369</v>
      </c>
      <c r="I287">
        <v>0</v>
      </c>
      <c r="J287" t="s">
        <v>16</v>
      </c>
    </row>
    <row r="288" spans="1:10" x14ac:dyDescent="0.3">
      <c r="A288" t="s">
        <v>465</v>
      </c>
      <c r="B288" t="s">
        <v>466</v>
      </c>
      <c r="C288" t="s">
        <v>12</v>
      </c>
      <c r="D288">
        <v>2341.8000000000002</v>
      </c>
      <c r="E288">
        <v>37</v>
      </c>
      <c r="F288" t="s">
        <v>24</v>
      </c>
      <c r="G288" t="s">
        <v>20</v>
      </c>
      <c r="H288" t="s">
        <v>369</v>
      </c>
      <c r="I288">
        <v>1</v>
      </c>
      <c r="J288" t="s">
        <v>30</v>
      </c>
    </row>
    <row r="289" spans="1:10" x14ac:dyDescent="0.3">
      <c r="A289" t="s">
        <v>467</v>
      </c>
      <c r="B289" t="s">
        <v>468</v>
      </c>
      <c r="C289" t="s">
        <v>12</v>
      </c>
      <c r="D289">
        <v>3946.03</v>
      </c>
      <c r="E289">
        <v>39</v>
      </c>
      <c r="F289" t="s">
        <v>13</v>
      </c>
      <c r="G289" t="s">
        <v>20</v>
      </c>
      <c r="H289" t="s">
        <v>369</v>
      </c>
      <c r="I289">
        <v>1</v>
      </c>
      <c r="J289" t="s">
        <v>30</v>
      </c>
    </row>
    <row r="290" spans="1:10" x14ac:dyDescent="0.3">
      <c r="A290" t="s">
        <v>469</v>
      </c>
      <c r="B290" t="s">
        <v>470</v>
      </c>
      <c r="C290" t="s">
        <v>12</v>
      </c>
      <c r="D290">
        <v>302.49</v>
      </c>
      <c r="E290">
        <v>16</v>
      </c>
      <c r="F290" t="s">
        <v>36</v>
      </c>
      <c r="G290" t="s">
        <v>29</v>
      </c>
      <c r="H290" t="s">
        <v>369</v>
      </c>
      <c r="I290">
        <v>1</v>
      </c>
      <c r="J290" t="s">
        <v>30</v>
      </c>
    </row>
    <row r="291" spans="1:10" x14ac:dyDescent="0.3">
      <c r="A291" t="s">
        <v>471</v>
      </c>
      <c r="B291" t="s">
        <v>472</v>
      </c>
      <c r="C291" t="s">
        <v>28</v>
      </c>
      <c r="D291">
        <v>4011.97</v>
      </c>
      <c r="E291">
        <v>9</v>
      </c>
      <c r="F291" t="s">
        <v>49</v>
      </c>
      <c r="G291" t="s">
        <v>20</v>
      </c>
      <c r="H291" t="s">
        <v>369</v>
      </c>
      <c r="I291">
        <v>0</v>
      </c>
      <c r="J291" t="s">
        <v>16</v>
      </c>
    </row>
    <row r="292" spans="1:10" x14ac:dyDescent="0.3">
      <c r="A292" t="s">
        <v>473</v>
      </c>
      <c r="B292" t="s">
        <v>474</v>
      </c>
      <c r="C292" t="s">
        <v>23</v>
      </c>
      <c r="D292">
        <v>3422.52</v>
      </c>
      <c r="E292">
        <v>38</v>
      </c>
      <c r="F292" t="s">
        <v>13</v>
      </c>
      <c r="G292" t="s">
        <v>20</v>
      </c>
      <c r="H292" t="s">
        <v>369</v>
      </c>
      <c r="I292">
        <v>1</v>
      </c>
      <c r="J292" t="s">
        <v>30</v>
      </c>
    </row>
    <row r="293" spans="1:10" x14ac:dyDescent="0.3">
      <c r="A293" t="s">
        <v>475</v>
      </c>
      <c r="B293" t="s">
        <v>61</v>
      </c>
      <c r="C293" t="s">
        <v>12</v>
      </c>
      <c r="D293">
        <v>189.58</v>
      </c>
      <c r="E293">
        <v>40</v>
      </c>
      <c r="F293" t="s">
        <v>49</v>
      </c>
      <c r="G293" t="s">
        <v>46</v>
      </c>
      <c r="H293" t="s">
        <v>369</v>
      </c>
      <c r="I293">
        <v>1</v>
      </c>
      <c r="J293" t="s">
        <v>30</v>
      </c>
    </row>
    <row r="294" spans="1:10" x14ac:dyDescent="0.3">
      <c r="A294" t="s">
        <v>200</v>
      </c>
      <c r="B294" t="s">
        <v>321</v>
      </c>
      <c r="C294" t="s">
        <v>35</v>
      </c>
      <c r="D294">
        <v>282.17</v>
      </c>
      <c r="E294">
        <v>8</v>
      </c>
      <c r="F294" t="s">
        <v>45</v>
      </c>
      <c r="G294" t="s">
        <v>58</v>
      </c>
      <c r="H294" t="s">
        <v>369</v>
      </c>
      <c r="I294">
        <v>0</v>
      </c>
      <c r="J294" t="s">
        <v>16</v>
      </c>
    </row>
    <row r="295" spans="1:10" x14ac:dyDescent="0.3">
      <c r="A295" t="s">
        <v>476</v>
      </c>
      <c r="B295" t="s">
        <v>341</v>
      </c>
      <c r="C295" t="s">
        <v>28</v>
      </c>
      <c r="D295">
        <v>4749.9799999999996</v>
      </c>
      <c r="E295">
        <v>16</v>
      </c>
      <c r="F295" t="s">
        <v>36</v>
      </c>
      <c r="G295" t="s">
        <v>46</v>
      </c>
      <c r="H295" t="s">
        <v>369</v>
      </c>
      <c r="I295">
        <v>0</v>
      </c>
      <c r="J295" t="s">
        <v>16</v>
      </c>
    </row>
    <row r="296" spans="1:10" x14ac:dyDescent="0.3">
      <c r="A296" t="s">
        <v>66</v>
      </c>
      <c r="B296" t="s">
        <v>477</v>
      </c>
      <c r="C296" t="s">
        <v>23</v>
      </c>
      <c r="D296">
        <v>4960.5</v>
      </c>
      <c r="E296">
        <v>10</v>
      </c>
      <c r="F296" t="s">
        <v>36</v>
      </c>
      <c r="G296" t="s">
        <v>29</v>
      </c>
      <c r="H296" t="s">
        <v>369</v>
      </c>
      <c r="I296">
        <v>0</v>
      </c>
      <c r="J296" t="s">
        <v>16</v>
      </c>
    </row>
    <row r="297" spans="1:10" x14ac:dyDescent="0.3">
      <c r="A297" t="s">
        <v>97</v>
      </c>
      <c r="B297" t="s">
        <v>478</v>
      </c>
      <c r="C297" t="s">
        <v>35</v>
      </c>
      <c r="D297">
        <v>3164.15</v>
      </c>
      <c r="E297">
        <v>30</v>
      </c>
      <c r="F297" t="s">
        <v>49</v>
      </c>
      <c r="G297" t="s">
        <v>58</v>
      </c>
      <c r="H297" t="s">
        <v>369</v>
      </c>
      <c r="I297">
        <v>1</v>
      </c>
      <c r="J297" t="s">
        <v>30</v>
      </c>
    </row>
    <row r="298" spans="1:10" x14ac:dyDescent="0.3">
      <c r="A298" t="s">
        <v>186</v>
      </c>
      <c r="B298" t="s">
        <v>479</v>
      </c>
      <c r="C298" t="s">
        <v>28</v>
      </c>
      <c r="D298">
        <v>4608.17</v>
      </c>
      <c r="E298">
        <v>7</v>
      </c>
      <c r="F298" t="s">
        <v>45</v>
      </c>
      <c r="G298" t="s">
        <v>29</v>
      </c>
      <c r="H298" t="s">
        <v>369</v>
      </c>
      <c r="I298">
        <v>0</v>
      </c>
      <c r="J298" t="s">
        <v>16</v>
      </c>
    </row>
    <row r="299" spans="1:10" x14ac:dyDescent="0.3">
      <c r="A299" t="s">
        <v>214</v>
      </c>
      <c r="B299" t="s">
        <v>61</v>
      </c>
      <c r="C299" t="s">
        <v>23</v>
      </c>
      <c r="D299">
        <v>1646.35</v>
      </c>
      <c r="E299">
        <v>23</v>
      </c>
      <c r="F299" t="s">
        <v>45</v>
      </c>
      <c r="G299" t="s">
        <v>25</v>
      </c>
      <c r="H299" t="s">
        <v>369</v>
      </c>
      <c r="I299">
        <v>0</v>
      </c>
      <c r="J299" t="s">
        <v>16</v>
      </c>
    </row>
    <row r="300" spans="1:10" x14ac:dyDescent="0.3">
      <c r="A300" t="s">
        <v>84</v>
      </c>
      <c r="B300" t="s">
        <v>480</v>
      </c>
      <c r="C300" t="s">
        <v>28</v>
      </c>
      <c r="D300">
        <v>1311.51</v>
      </c>
      <c r="E300">
        <v>11</v>
      </c>
      <c r="F300" t="s">
        <v>24</v>
      </c>
      <c r="G300" t="s">
        <v>20</v>
      </c>
      <c r="H300" t="s">
        <v>369</v>
      </c>
      <c r="I300">
        <v>0</v>
      </c>
      <c r="J300" t="s">
        <v>16</v>
      </c>
    </row>
    <row r="301" spans="1:10" x14ac:dyDescent="0.3">
      <c r="A301" t="s">
        <v>354</v>
      </c>
      <c r="B301" t="s">
        <v>257</v>
      </c>
      <c r="C301" t="s">
        <v>28</v>
      </c>
      <c r="D301">
        <v>4563.7</v>
      </c>
      <c r="E301">
        <v>4</v>
      </c>
      <c r="F301" t="s">
        <v>19</v>
      </c>
      <c r="G301" t="s">
        <v>14</v>
      </c>
      <c r="H301" t="s">
        <v>369</v>
      </c>
      <c r="I301">
        <v>1</v>
      </c>
      <c r="J301" t="s">
        <v>30</v>
      </c>
    </row>
    <row r="302" spans="1:10" x14ac:dyDescent="0.3">
      <c r="A302" t="s">
        <v>125</v>
      </c>
      <c r="B302" t="s">
        <v>481</v>
      </c>
      <c r="C302" t="s">
        <v>12</v>
      </c>
      <c r="D302">
        <v>2897.92</v>
      </c>
      <c r="E302">
        <v>25</v>
      </c>
      <c r="F302" t="s">
        <v>45</v>
      </c>
      <c r="G302" t="s">
        <v>25</v>
      </c>
      <c r="H302" t="s">
        <v>369</v>
      </c>
      <c r="I302">
        <v>1</v>
      </c>
      <c r="J302" t="s">
        <v>30</v>
      </c>
    </row>
    <row r="303" spans="1:10" x14ac:dyDescent="0.3">
      <c r="A303" t="s">
        <v>482</v>
      </c>
      <c r="B303" t="s">
        <v>181</v>
      </c>
      <c r="C303" t="s">
        <v>23</v>
      </c>
      <c r="D303">
        <v>3856.59</v>
      </c>
      <c r="E303">
        <v>32</v>
      </c>
      <c r="F303" t="s">
        <v>45</v>
      </c>
      <c r="G303" t="s">
        <v>14</v>
      </c>
      <c r="H303" t="s">
        <v>369</v>
      </c>
      <c r="I303">
        <v>1</v>
      </c>
      <c r="J303" t="s">
        <v>30</v>
      </c>
    </row>
    <row r="304" spans="1:10" x14ac:dyDescent="0.3">
      <c r="A304" t="s">
        <v>469</v>
      </c>
      <c r="B304" t="s">
        <v>483</v>
      </c>
      <c r="C304" t="s">
        <v>23</v>
      </c>
      <c r="D304">
        <v>673.93</v>
      </c>
      <c r="E304">
        <v>7</v>
      </c>
      <c r="F304" t="s">
        <v>24</v>
      </c>
      <c r="G304" t="s">
        <v>58</v>
      </c>
      <c r="H304" t="s">
        <v>369</v>
      </c>
      <c r="I304">
        <v>0</v>
      </c>
      <c r="J304" t="s">
        <v>16</v>
      </c>
    </row>
    <row r="305" spans="1:10" x14ac:dyDescent="0.3">
      <c r="A305" t="s">
        <v>484</v>
      </c>
      <c r="B305" t="s">
        <v>485</v>
      </c>
      <c r="C305" t="s">
        <v>35</v>
      </c>
      <c r="D305">
        <v>2992.23</v>
      </c>
      <c r="E305">
        <v>5</v>
      </c>
      <c r="F305" t="s">
        <v>19</v>
      </c>
      <c r="G305" t="s">
        <v>20</v>
      </c>
      <c r="H305" t="s">
        <v>369</v>
      </c>
      <c r="I305">
        <v>1</v>
      </c>
      <c r="J305" t="s">
        <v>30</v>
      </c>
    </row>
    <row r="306" spans="1:10" x14ac:dyDescent="0.3">
      <c r="A306" t="s">
        <v>486</v>
      </c>
      <c r="B306" t="s">
        <v>487</v>
      </c>
      <c r="C306" t="s">
        <v>23</v>
      </c>
      <c r="D306">
        <v>3285.21</v>
      </c>
      <c r="E306">
        <v>10</v>
      </c>
      <c r="F306" t="s">
        <v>13</v>
      </c>
      <c r="G306" t="s">
        <v>46</v>
      </c>
      <c r="H306" t="s">
        <v>369</v>
      </c>
      <c r="I306">
        <v>0</v>
      </c>
      <c r="J306" t="s">
        <v>16</v>
      </c>
    </row>
    <row r="307" spans="1:10" x14ac:dyDescent="0.3">
      <c r="A307" t="s">
        <v>488</v>
      </c>
      <c r="B307" t="s">
        <v>489</v>
      </c>
      <c r="C307" t="s">
        <v>28</v>
      </c>
      <c r="D307">
        <v>3305.07</v>
      </c>
      <c r="E307">
        <v>6</v>
      </c>
      <c r="F307" t="s">
        <v>24</v>
      </c>
      <c r="G307" t="s">
        <v>58</v>
      </c>
      <c r="H307" t="s">
        <v>369</v>
      </c>
      <c r="I307">
        <v>0</v>
      </c>
      <c r="J307" t="s">
        <v>16</v>
      </c>
    </row>
    <row r="308" spans="1:10" x14ac:dyDescent="0.3">
      <c r="A308" t="s">
        <v>475</v>
      </c>
      <c r="B308" t="s">
        <v>366</v>
      </c>
      <c r="C308" t="s">
        <v>35</v>
      </c>
      <c r="D308">
        <v>2443.1799999999998</v>
      </c>
      <c r="E308">
        <v>16</v>
      </c>
      <c r="F308" t="s">
        <v>13</v>
      </c>
      <c r="G308" t="s">
        <v>25</v>
      </c>
      <c r="H308" t="s">
        <v>369</v>
      </c>
      <c r="I308">
        <v>1</v>
      </c>
      <c r="J308" t="s">
        <v>30</v>
      </c>
    </row>
    <row r="309" spans="1:10" x14ac:dyDescent="0.3">
      <c r="A309" t="s">
        <v>490</v>
      </c>
      <c r="B309" t="s">
        <v>491</v>
      </c>
      <c r="C309" t="s">
        <v>35</v>
      </c>
      <c r="D309">
        <v>4508.75</v>
      </c>
      <c r="E309">
        <v>31</v>
      </c>
      <c r="F309" t="s">
        <v>24</v>
      </c>
      <c r="G309" t="s">
        <v>20</v>
      </c>
      <c r="H309" t="s">
        <v>369</v>
      </c>
      <c r="I309">
        <v>1</v>
      </c>
      <c r="J309" t="s">
        <v>30</v>
      </c>
    </row>
    <row r="310" spans="1:10" x14ac:dyDescent="0.3">
      <c r="A310" t="s">
        <v>492</v>
      </c>
      <c r="B310" t="s">
        <v>493</v>
      </c>
      <c r="C310" t="s">
        <v>28</v>
      </c>
      <c r="D310">
        <v>4271.8</v>
      </c>
      <c r="E310">
        <v>27</v>
      </c>
      <c r="F310" t="s">
        <v>36</v>
      </c>
      <c r="G310" t="s">
        <v>46</v>
      </c>
      <c r="H310" t="s">
        <v>369</v>
      </c>
      <c r="I310">
        <v>0</v>
      </c>
      <c r="J310" t="s">
        <v>16</v>
      </c>
    </row>
    <row r="311" spans="1:10" x14ac:dyDescent="0.3">
      <c r="A311" t="s">
        <v>494</v>
      </c>
      <c r="B311" t="s">
        <v>495</v>
      </c>
      <c r="C311" t="s">
        <v>23</v>
      </c>
      <c r="D311">
        <v>3466.18</v>
      </c>
      <c r="E311">
        <v>4</v>
      </c>
      <c r="F311" t="s">
        <v>49</v>
      </c>
      <c r="G311" t="s">
        <v>46</v>
      </c>
      <c r="H311" t="s">
        <v>369</v>
      </c>
      <c r="I311">
        <v>1</v>
      </c>
      <c r="J311" t="s">
        <v>30</v>
      </c>
    </row>
    <row r="312" spans="1:10" x14ac:dyDescent="0.3">
      <c r="A312" t="s">
        <v>351</v>
      </c>
      <c r="B312" t="s">
        <v>496</v>
      </c>
      <c r="C312" t="s">
        <v>35</v>
      </c>
      <c r="D312">
        <v>2635.73</v>
      </c>
      <c r="E312">
        <v>17</v>
      </c>
      <c r="F312" t="s">
        <v>13</v>
      </c>
      <c r="G312" t="s">
        <v>46</v>
      </c>
      <c r="H312" t="s">
        <v>369</v>
      </c>
      <c r="I312">
        <v>1</v>
      </c>
      <c r="J312" t="s">
        <v>30</v>
      </c>
    </row>
    <row r="313" spans="1:10" x14ac:dyDescent="0.3">
      <c r="A313" t="s">
        <v>476</v>
      </c>
      <c r="B313" t="s">
        <v>497</v>
      </c>
      <c r="C313" t="s">
        <v>28</v>
      </c>
      <c r="D313">
        <v>4001.39</v>
      </c>
      <c r="E313">
        <v>21</v>
      </c>
      <c r="F313" t="s">
        <v>13</v>
      </c>
      <c r="G313" t="s">
        <v>25</v>
      </c>
      <c r="H313" t="s">
        <v>369</v>
      </c>
      <c r="I313">
        <v>1</v>
      </c>
      <c r="J313" t="s">
        <v>30</v>
      </c>
    </row>
    <row r="314" spans="1:10" x14ac:dyDescent="0.3">
      <c r="A314" t="s">
        <v>498</v>
      </c>
      <c r="B314" t="s">
        <v>295</v>
      </c>
      <c r="C314" t="s">
        <v>35</v>
      </c>
      <c r="D314">
        <v>3271.89</v>
      </c>
      <c r="E314">
        <v>3</v>
      </c>
      <c r="F314" t="s">
        <v>45</v>
      </c>
      <c r="G314" t="s">
        <v>20</v>
      </c>
      <c r="H314" t="s">
        <v>369</v>
      </c>
      <c r="I314">
        <v>1</v>
      </c>
      <c r="J314" t="s">
        <v>30</v>
      </c>
    </row>
    <row r="315" spans="1:10" x14ac:dyDescent="0.3">
      <c r="A315" t="s">
        <v>499</v>
      </c>
      <c r="B315" t="s">
        <v>55</v>
      </c>
      <c r="C315" t="s">
        <v>28</v>
      </c>
      <c r="D315">
        <v>3804.54</v>
      </c>
      <c r="E315">
        <v>10</v>
      </c>
      <c r="F315" t="s">
        <v>24</v>
      </c>
      <c r="G315" t="s">
        <v>29</v>
      </c>
      <c r="H315" t="s">
        <v>369</v>
      </c>
      <c r="I315">
        <v>1</v>
      </c>
      <c r="J315" t="s">
        <v>30</v>
      </c>
    </row>
    <row r="316" spans="1:10" x14ac:dyDescent="0.3">
      <c r="A316" t="s">
        <v>467</v>
      </c>
      <c r="B316" t="s">
        <v>500</v>
      </c>
      <c r="C316" t="s">
        <v>23</v>
      </c>
      <c r="D316">
        <v>956.14</v>
      </c>
      <c r="E316">
        <v>13</v>
      </c>
      <c r="F316" t="s">
        <v>49</v>
      </c>
      <c r="G316" t="s">
        <v>29</v>
      </c>
      <c r="H316" t="s">
        <v>369</v>
      </c>
      <c r="I316">
        <v>0</v>
      </c>
      <c r="J316" t="s">
        <v>16</v>
      </c>
    </row>
    <row r="317" spans="1:10" x14ac:dyDescent="0.3">
      <c r="A317" t="s">
        <v>501</v>
      </c>
      <c r="B317" t="s">
        <v>502</v>
      </c>
      <c r="C317" t="s">
        <v>28</v>
      </c>
      <c r="D317">
        <v>2731.55</v>
      </c>
      <c r="E317">
        <v>12</v>
      </c>
      <c r="F317" t="s">
        <v>13</v>
      </c>
      <c r="G317" t="s">
        <v>20</v>
      </c>
      <c r="H317" t="s">
        <v>369</v>
      </c>
      <c r="I317">
        <v>1</v>
      </c>
      <c r="J317" t="s">
        <v>30</v>
      </c>
    </row>
    <row r="318" spans="1:10" x14ac:dyDescent="0.3">
      <c r="A318" t="s">
        <v>503</v>
      </c>
      <c r="B318" t="s">
        <v>504</v>
      </c>
      <c r="C318" t="s">
        <v>28</v>
      </c>
      <c r="D318">
        <v>409.98</v>
      </c>
      <c r="E318">
        <v>31</v>
      </c>
      <c r="F318" t="s">
        <v>13</v>
      </c>
      <c r="G318" t="s">
        <v>46</v>
      </c>
      <c r="H318" t="s">
        <v>369</v>
      </c>
      <c r="I318">
        <v>1</v>
      </c>
      <c r="J318" t="s">
        <v>30</v>
      </c>
    </row>
    <row r="319" spans="1:10" x14ac:dyDescent="0.3">
      <c r="A319" t="s">
        <v>505</v>
      </c>
      <c r="B319" t="s">
        <v>466</v>
      </c>
      <c r="C319" t="s">
        <v>28</v>
      </c>
      <c r="D319">
        <v>602.52</v>
      </c>
      <c r="E319">
        <v>50</v>
      </c>
      <c r="F319" t="s">
        <v>24</v>
      </c>
      <c r="G319" t="s">
        <v>58</v>
      </c>
      <c r="H319" t="s">
        <v>369</v>
      </c>
      <c r="I319">
        <v>1</v>
      </c>
      <c r="J319" t="s">
        <v>30</v>
      </c>
    </row>
    <row r="320" spans="1:10" x14ac:dyDescent="0.3">
      <c r="A320" t="s">
        <v>506</v>
      </c>
      <c r="B320" t="s">
        <v>489</v>
      </c>
      <c r="C320" t="s">
        <v>35</v>
      </c>
      <c r="D320">
        <v>2006.3</v>
      </c>
      <c r="E320">
        <v>35</v>
      </c>
      <c r="F320" t="s">
        <v>13</v>
      </c>
      <c r="G320" t="s">
        <v>58</v>
      </c>
      <c r="H320" t="s">
        <v>369</v>
      </c>
      <c r="I320">
        <v>0</v>
      </c>
      <c r="J320" t="s">
        <v>16</v>
      </c>
    </row>
    <row r="321" spans="1:10" x14ac:dyDescent="0.3">
      <c r="A321" t="s">
        <v>115</v>
      </c>
      <c r="B321" t="s">
        <v>477</v>
      </c>
      <c r="C321" t="s">
        <v>12</v>
      </c>
      <c r="D321">
        <v>2663.13</v>
      </c>
      <c r="E321">
        <v>48</v>
      </c>
      <c r="F321" t="s">
        <v>24</v>
      </c>
      <c r="G321" t="s">
        <v>25</v>
      </c>
      <c r="H321" t="s">
        <v>369</v>
      </c>
      <c r="I321">
        <v>0</v>
      </c>
      <c r="J321" t="s">
        <v>16</v>
      </c>
    </row>
    <row r="322" spans="1:10" x14ac:dyDescent="0.3">
      <c r="A322" t="s">
        <v>312</v>
      </c>
      <c r="B322" t="s">
        <v>507</v>
      </c>
      <c r="C322" t="s">
        <v>23</v>
      </c>
      <c r="D322">
        <v>1051.9000000000001</v>
      </c>
      <c r="E322">
        <v>32</v>
      </c>
      <c r="F322" t="s">
        <v>36</v>
      </c>
      <c r="G322" t="s">
        <v>29</v>
      </c>
      <c r="H322" t="s">
        <v>369</v>
      </c>
      <c r="I322">
        <v>0</v>
      </c>
      <c r="J322" t="s">
        <v>16</v>
      </c>
    </row>
    <row r="323" spans="1:10" x14ac:dyDescent="0.3">
      <c r="A323" t="s">
        <v>508</v>
      </c>
      <c r="B323" t="s">
        <v>509</v>
      </c>
      <c r="C323" t="s">
        <v>23</v>
      </c>
      <c r="D323">
        <v>1531.01</v>
      </c>
      <c r="E323">
        <v>49</v>
      </c>
      <c r="F323" t="s">
        <v>13</v>
      </c>
      <c r="G323" t="s">
        <v>25</v>
      </c>
      <c r="H323" t="s">
        <v>369</v>
      </c>
      <c r="I323">
        <v>0</v>
      </c>
      <c r="J323" t="s">
        <v>16</v>
      </c>
    </row>
    <row r="324" spans="1:10" x14ac:dyDescent="0.3">
      <c r="A324" t="s">
        <v>510</v>
      </c>
      <c r="B324" t="s">
        <v>511</v>
      </c>
      <c r="C324" t="s">
        <v>35</v>
      </c>
      <c r="D324">
        <v>4651.75</v>
      </c>
      <c r="E324">
        <v>50</v>
      </c>
      <c r="F324" t="s">
        <v>45</v>
      </c>
      <c r="G324" t="s">
        <v>29</v>
      </c>
      <c r="H324" t="s">
        <v>369</v>
      </c>
      <c r="I324">
        <v>1</v>
      </c>
      <c r="J324" t="s">
        <v>30</v>
      </c>
    </row>
    <row r="325" spans="1:10" x14ac:dyDescent="0.3">
      <c r="A325" t="s">
        <v>463</v>
      </c>
      <c r="B325" t="s">
        <v>297</v>
      </c>
      <c r="C325" t="s">
        <v>35</v>
      </c>
      <c r="D325">
        <v>4434.3100000000004</v>
      </c>
      <c r="E325">
        <v>13</v>
      </c>
      <c r="F325" t="s">
        <v>19</v>
      </c>
      <c r="G325" t="s">
        <v>58</v>
      </c>
      <c r="H325" t="s">
        <v>369</v>
      </c>
      <c r="I325">
        <v>1</v>
      </c>
      <c r="J325" t="s">
        <v>30</v>
      </c>
    </row>
    <row r="326" spans="1:10" x14ac:dyDescent="0.3">
      <c r="A326" t="s">
        <v>512</v>
      </c>
      <c r="B326" t="s">
        <v>513</v>
      </c>
      <c r="C326" t="s">
        <v>23</v>
      </c>
      <c r="D326">
        <v>456.08</v>
      </c>
      <c r="E326">
        <v>18</v>
      </c>
      <c r="F326" t="s">
        <v>19</v>
      </c>
      <c r="G326" t="s">
        <v>29</v>
      </c>
      <c r="H326" t="s">
        <v>369</v>
      </c>
      <c r="I326">
        <v>1</v>
      </c>
      <c r="J326" t="s">
        <v>30</v>
      </c>
    </row>
    <row r="327" spans="1:10" x14ac:dyDescent="0.3">
      <c r="A327" t="s">
        <v>355</v>
      </c>
      <c r="B327" t="s">
        <v>514</v>
      </c>
      <c r="C327" t="s">
        <v>12</v>
      </c>
      <c r="D327">
        <v>2597.66</v>
      </c>
      <c r="E327">
        <v>13</v>
      </c>
      <c r="F327" t="s">
        <v>49</v>
      </c>
      <c r="G327" t="s">
        <v>14</v>
      </c>
      <c r="H327" t="s">
        <v>369</v>
      </c>
      <c r="I327">
        <v>0</v>
      </c>
      <c r="J327" t="s">
        <v>16</v>
      </c>
    </row>
    <row r="328" spans="1:10" x14ac:dyDescent="0.3">
      <c r="A328" t="s">
        <v>515</v>
      </c>
      <c r="B328" t="s">
        <v>516</v>
      </c>
      <c r="C328" t="s">
        <v>28</v>
      </c>
      <c r="D328">
        <v>3340.87</v>
      </c>
      <c r="E328">
        <v>50</v>
      </c>
      <c r="F328" t="s">
        <v>24</v>
      </c>
      <c r="G328" t="s">
        <v>20</v>
      </c>
      <c r="H328" t="s">
        <v>369</v>
      </c>
      <c r="I328">
        <v>0</v>
      </c>
      <c r="J328" t="s">
        <v>16</v>
      </c>
    </row>
    <row r="329" spans="1:10" x14ac:dyDescent="0.3">
      <c r="A329" t="s">
        <v>417</v>
      </c>
      <c r="B329" t="s">
        <v>517</v>
      </c>
      <c r="C329" t="s">
        <v>23</v>
      </c>
      <c r="D329">
        <v>1061.53</v>
      </c>
      <c r="E329">
        <v>3</v>
      </c>
      <c r="F329" t="s">
        <v>13</v>
      </c>
      <c r="G329" t="s">
        <v>46</v>
      </c>
      <c r="H329" t="s">
        <v>369</v>
      </c>
      <c r="I329">
        <v>0</v>
      </c>
      <c r="J329" t="s">
        <v>16</v>
      </c>
    </row>
    <row r="330" spans="1:10" x14ac:dyDescent="0.3">
      <c r="A330" t="s">
        <v>518</v>
      </c>
      <c r="B330" t="s">
        <v>519</v>
      </c>
      <c r="C330" t="s">
        <v>23</v>
      </c>
      <c r="D330">
        <v>4016.44</v>
      </c>
      <c r="E330">
        <v>47</v>
      </c>
      <c r="F330" t="s">
        <v>13</v>
      </c>
      <c r="G330" t="s">
        <v>20</v>
      </c>
      <c r="H330" t="s">
        <v>369</v>
      </c>
      <c r="I330">
        <v>0</v>
      </c>
      <c r="J330" t="s">
        <v>16</v>
      </c>
    </row>
    <row r="331" spans="1:10" x14ac:dyDescent="0.3">
      <c r="A331" t="s">
        <v>520</v>
      </c>
      <c r="B331" t="s">
        <v>521</v>
      </c>
      <c r="C331" t="s">
        <v>35</v>
      </c>
      <c r="D331">
        <v>3510.17</v>
      </c>
      <c r="E331">
        <v>27</v>
      </c>
      <c r="F331" t="s">
        <v>36</v>
      </c>
      <c r="G331" t="s">
        <v>46</v>
      </c>
      <c r="H331" t="s">
        <v>369</v>
      </c>
      <c r="I331">
        <v>0</v>
      </c>
      <c r="J331" t="s">
        <v>16</v>
      </c>
    </row>
    <row r="332" spans="1:10" x14ac:dyDescent="0.3">
      <c r="A332" t="s">
        <v>522</v>
      </c>
      <c r="B332" t="s">
        <v>276</v>
      </c>
      <c r="C332" t="s">
        <v>12</v>
      </c>
      <c r="D332">
        <v>465.11</v>
      </c>
      <c r="E332">
        <v>17</v>
      </c>
      <c r="F332" t="s">
        <v>49</v>
      </c>
      <c r="G332" t="s">
        <v>14</v>
      </c>
      <c r="H332" t="s">
        <v>369</v>
      </c>
      <c r="I332">
        <v>0</v>
      </c>
      <c r="J332" t="s">
        <v>16</v>
      </c>
    </row>
    <row r="333" spans="1:10" x14ac:dyDescent="0.3">
      <c r="A333" t="s">
        <v>523</v>
      </c>
      <c r="B333" t="s">
        <v>524</v>
      </c>
      <c r="C333" t="s">
        <v>28</v>
      </c>
      <c r="D333">
        <v>4368.0600000000004</v>
      </c>
      <c r="E333">
        <v>13</v>
      </c>
      <c r="F333" t="s">
        <v>19</v>
      </c>
      <c r="G333" t="s">
        <v>58</v>
      </c>
      <c r="H333" t="s">
        <v>369</v>
      </c>
      <c r="I333">
        <v>1</v>
      </c>
      <c r="J333" t="s">
        <v>30</v>
      </c>
    </row>
    <row r="334" spans="1:10" x14ac:dyDescent="0.3">
      <c r="A334" t="s">
        <v>525</v>
      </c>
      <c r="B334" t="s">
        <v>370</v>
      </c>
      <c r="C334" t="s">
        <v>35</v>
      </c>
      <c r="D334">
        <v>4859.1899999999996</v>
      </c>
      <c r="E334">
        <v>32</v>
      </c>
      <c r="F334" t="s">
        <v>49</v>
      </c>
      <c r="G334" t="s">
        <v>14</v>
      </c>
      <c r="H334" t="s">
        <v>369</v>
      </c>
      <c r="I334">
        <v>0</v>
      </c>
      <c r="J334" t="s">
        <v>16</v>
      </c>
    </row>
    <row r="335" spans="1:10" x14ac:dyDescent="0.3">
      <c r="A335" t="s">
        <v>220</v>
      </c>
      <c r="B335" t="s">
        <v>526</v>
      </c>
      <c r="C335" t="s">
        <v>12</v>
      </c>
      <c r="D335">
        <v>490.28</v>
      </c>
      <c r="E335">
        <v>35</v>
      </c>
      <c r="F335" t="s">
        <v>45</v>
      </c>
      <c r="G335" t="s">
        <v>25</v>
      </c>
      <c r="H335" t="s">
        <v>369</v>
      </c>
      <c r="I335">
        <v>1</v>
      </c>
      <c r="J335" t="s">
        <v>30</v>
      </c>
    </row>
    <row r="336" spans="1:10" x14ac:dyDescent="0.3">
      <c r="A336" t="s">
        <v>527</v>
      </c>
      <c r="B336" t="s">
        <v>528</v>
      </c>
      <c r="C336" t="s">
        <v>35</v>
      </c>
      <c r="D336">
        <v>4008.26</v>
      </c>
      <c r="E336">
        <v>48</v>
      </c>
      <c r="F336" t="s">
        <v>45</v>
      </c>
      <c r="G336" t="s">
        <v>46</v>
      </c>
      <c r="H336" t="s">
        <v>369</v>
      </c>
      <c r="I336">
        <v>1</v>
      </c>
      <c r="J336" t="s">
        <v>30</v>
      </c>
    </row>
    <row r="337" spans="1:10" x14ac:dyDescent="0.3">
      <c r="A337" t="s">
        <v>529</v>
      </c>
      <c r="B337" t="s">
        <v>530</v>
      </c>
      <c r="C337" t="s">
        <v>23</v>
      </c>
      <c r="D337">
        <v>1341.47</v>
      </c>
      <c r="E337">
        <v>32</v>
      </c>
      <c r="F337" t="s">
        <v>13</v>
      </c>
      <c r="G337" t="s">
        <v>58</v>
      </c>
      <c r="H337" t="s">
        <v>369</v>
      </c>
      <c r="I337">
        <v>1</v>
      </c>
      <c r="J337" t="s">
        <v>30</v>
      </c>
    </row>
    <row r="338" spans="1:10" x14ac:dyDescent="0.3">
      <c r="A338" t="s">
        <v>531</v>
      </c>
      <c r="B338" t="s">
        <v>532</v>
      </c>
      <c r="C338" t="s">
        <v>23</v>
      </c>
      <c r="D338">
        <v>1270.71</v>
      </c>
      <c r="E338">
        <v>8</v>
      </c>
      <c r="F338" t="s">
        <v>13</v>
      </c>
      <c r="G338" t="s">
        <v>20</v>
      </c>
      <c r="H338" t="s">
        <v>369</v>
      </c>
      <c r="I338">
        <v>0</v>
      </c>
      <c r="J338" t="s">
        <v>16</v>
      </c>
    </row>
    <row r="339" spans="1:10" x14ac:dyDescent="0.3">
      <c r="A339" t="s">
        <v>441</v>
      </c>
      <c r="B339" t="s">
        <v>533</v>
      </c>
      <c r="C339" t="s">
        <v>23</v>
      </c>
      <c r="D339">
        <v>2030.48</v>
      </c>
      <c r="E339">
        <v>41</v>
      </c>
      <c r="F339" t="s">
        <v>24</v>
      </c>
      <c r="G339" t="s">
        <v>29</v>
      </c>
      <c r="H339" t="s">
        <v>369</v>
      </c>
      <c r="I339">
        <v>0</v>
      </c>
      <c r="J339" t="s">
        <v>16</v>
      </c>
    </row>
    <row r="340" spans="1:10" x14ac:dyDescent="0.3">
      <c r="A340" t="s">
        <v>216</v>
      </c>
      <c r="B340" t="s">
        <v>534</v>
      </c>
      <c r="C340" t="s">
        <v>28</v>
      </c>
      <c r="D340">
        <v>4493.34</v>
      </c>
      <c r="E340">
        <v>34</v>
      </c>
      <c r="F340" t="s">
        <v>24</v>
      </c>
      <c r="G340" t="s">
        <v>46</v>
      </c>
      <c r="H340" t="s">
        <v>369</v>
      </c>
      <c r="I340">
        <v>1</v>
      </c>
      <c r="J340" t="s">
        <v>30</v>
      </c>
    </row>
    <row r="341" spans="1:10" x14ac:dyDescent="0.3">
      <c r="A341" t="s">
        <v>535</v>
      </c>
      <c r="B341" t="s">
        <v>536</v>
      </c>
      <c r="C341" t="s">
        <v>28</v>
      </c>
      <c r="D341">
        <v>1584.43</v>
      </c>
      <c r="E341">
        <v>18</v>
      </c>
      <c r="F341" t="s">
        <v>45</v>
      </c>
      <c r="G341" t="s">
        <v>25</v>
      </c>
      <c r="H341" t="s">
        <v>369</v>
      </c>
      <c r="I341">
        <v>1</v>
      </c>
      <c r="J341" t="s">
        <v>30</v>
      </c>
    </row>
    <row r="342" spans="1:10" x14ac:dyDescent="0.3">
      <c r="A342" t="s">
        <v>537</v>
      </c>
      <c r="B342" t="s">
        <v>538</v>
      </c>
      <c r="C342" t="s">
        <v>28</v>
      </c>
      <c r="D342">
        <v>4239.1400000000003</v>
      </c>
      <c r="E342">
        <v>16</v>
      </c>
      <c r="F342" t="s">
        <v>13</v>
      </c>
      <c r="G342" t="s">
        <v>58</v>
      </c>
      <c r="H342" t="s">
        <v>369</v>
      </c>
      <c r="I342">
        <v>0</v>
      </c>
      <c r="J342" t="s">
        <v>16</v>
      </c>
    </row>
    <row r="343" spans="1:10" x14ac:dyDescent="0.3">
      <c r="A343" t="s">
        <v>539</v>
      </c>
      <c r="B343" t="s">
        <v>540</v>
      </c>
      <c r="C343" t="s">
        <v>35</v>
      </c>
      <c r="D343">
        <v>2432.3000000000002</v>
      </c>
      <c r="E343">
        <v>34</v>
      </c>
      <c r="F343" t="s">
        <v>13</v>
      </c>
      <c r="G343" t="s">
        <v>46</v>
      </c>
      <c r="H343" t="s">
        <v>369</v>
      </c>
      <c r="I343">
        <v>1</v>
      </c>
      <c r="J343" t="s">
        <v>30</v>
      </c>
    </row>
    <row r="344" spans="1:10" x14ac:dyDescent="0.3">
      <c r="A344" t="s">
        <v>541</v>
      </c>
      <c r="B344" t="s">
        <v>188</v>
      </c>
      <c r="C344" t="s">
        <v>28</v>
      </c>
      <c r="D344">
        <v>3290.8</v>
      </c>
      <c r="E344">
        <v>42</v>
      </c>
      <c r="F344" t="s">
        <v>49</v>
      </c>
      <c r="G344" t="s">
        <v>20</v>
      </c>
      <c r="H344" t="s">
        <v>369</v>
      </c>
      <c r="I344">
        <v>1</v>
      </c>
      <c r="J344" t="s">
        <v>30</v>
      </c>
    </row>
    <row r="345" spans="1:10" x14ac:dyDescent="0.3">
      <c r="A345" t="s">
        <v>399</v>
      </c>
      <c r="B345" t="s">
        <v>154</v>
      </c>
      <c r="C345" t="s">
        <v>23</v>
      </c>
      <c r="D345">
        <v>1096.9100000000001</v>
      </c>
      <c r="E345">
        <v>50</v>
      </c>
      <c r="F345" t="s">
        <v>45</v>
      </c>
      <c r="G345" t="s">
        <v>29</v>
      </c>
      <c r="H345" t="s">
        <v>369</v>
      </c>
      <c r="I345">
        <v>0</v>
      </c>
      <c r="J345" t="s">
        <v>16</v>
      </c>
    </row>
    <row r="346" spans="1:10" x14ac:dyDescent="0.3">
      <c r="A346" t="s">
        <v>542</v>
      </c>
      <c r="B346" t="s">
        <v>543</v>
      </c>
      <c r="C346" t="s">
        <v>28</v>
      </c>
      <c r="D346">
        <v>1027.3699999999999</v>
      </c>
      <c r="E346">
        <v>9</v>
      </c>
      <c r="F346" t="s">
        <v>49</v>
      </c>
      <c r="G346" t="s">
        <v>46</v>
      </c>
      <c r="H346" t="s">
        <v>369</v>
      </c>
      <c r="I346">
        <v>0</v>
      </c>
      <c r="J346" t="s">
        <v>16</v>
      </c>
    </row>
    <row r="347" spans="1:10" x14ac:dyDescent="0.3">
      <c r="A347" t="s">
        <v>544</v>
      </c>
      <c r="B347" t="s">
        <v>545</v>
      </c>
      <c r="C347" t="s">
        <v>28</v>
      </c>
      <c r="D347">
        <v>4670.58</v>
      </c>
      <c r="E347">
        <v>6</v>
      </c>
      <c r="F347" t="s">
        <v>36</v>
      </c>
      <c r="G347" t="s">
        <v>58</v>
      </c>
      <c r="H347" t="s">
        <v>369</v>
      </c>
      <c r="I347">
        <v>0</v>
      </c>
      <c r="J347" t="s">
        <v>16</v>
      </c>
    </row>
    <row r="348" spans="1:10" x14ac:dyDescent="0.3">
      <c r="A348" t="s">
        <v>546</v>
      </c>
      <c r="B348" t="s">
        <v>250</v>
      </c>
      <c r="C348" t="s">
        <v>12</v>
      </c>
      <c r="D348">
        <v>4258.8599999999997</v>
      </c>
      <c r="E348">
        <v>32</v>
      </c>
      <c r="F348" t="s">
        <v>49</v>
      </c>
      <c r="G348" t="s">
        <v>14</v>
      </c>
      <c r="H348" t="s">
        <v>369</v>
      </c>
      <c r="I348">
        <v>1</v>
      </c>
      <c r="J348" t="s">
        <v>30</v>
      </c>
    </row>
    <row r="349" spans="1:10" x14ac:dyDescent="0.3">
      <c r="A349" t="s">
        <v>547</v>
      </c>
      <c r="B349" t="s">
        <v>418</v>
      </c>
      <c r="C349" t="s">
        <v>23</v>
      </c>
      <c r="D349">
        <v>3238.99</v>
      </c>
      <c r="E349">
        <v>15</v>
      </c>
      <c r="F349" t="s">
        <v>36</v>
      </c>
      <c r="G349" t="s">
        <v>29</v>
      </c>
      <c r="H349" t="s">
        <v>369</v>
      </c>
      <c r="I349">
        <v>1</v>
      </c>
      <c r="J349" t="s">
        <v>30</v>
      </c>
    </row>
    <row r="350" spans="1:10" x14ac:dyDescent="0.3">
      <c r="A350" t="s">
        <v>107</v>
      </c>
      <c r="B350" t="s">
        <v>397</v>
      </c>
      <c r="C350" t="s">
        <v>12</v>
      </c>
      <c r="D350">
        <v>1745.65</v>
      </c>
      <c r="E350">
        <v>4</v>
      </c>
      <c r="F350" t="s">
        <v>24</v>
      </c>
      <c r="G350" t="s">
        <v>58</v>
      </c>
      <c r="H350" t="s">
        <v>369</v>
      </c>
      <c r="I350">
        <v>0</v>
      </c>
      <c r="J350" t="s">
        <v>16</v>
      </c>
    </row>
    <row r="351" spans="1:10" x14ac:dyDescent="0.3">
      <c r="A351" t="s">
        <v>420</v>
      </c>
      <c r="B351" t="s">
        <v>53</v>
      </c>
      <c r="C351" t="s">
        <v>23</v>
      </c>
      <c r="D351">
        <v>1929.66</v>
      </c>
      <c r="E351">
        <v>35</v>
      </c>
      <c r="F351" t="s">
        <v>49</v>
      </c>
      <c r="G351" t="s">
        <v>25</v>
      </c>
      <c r="H351" t="s">
        <v>369</v>
      </c>
      <c r="I351">
        <v>0</v>
      </c>
      <c r="J351" t="s">
        <v>16</v>
      </c>
    </row>
    <row r="352" spans="1:10" x14ac:dyDescent="0.3">
      <c r="A352" t="s">
        <v>33</v>
      </c>
      <c r="B352" t="s">
        <v>357</v>
      </c>
      <c r="C352" t="s">
        <v>23</v>
      </c>
      <c r="D352">
        <v>4492.3</v>
      </c>
      <c r="E352">
        <v>10</v>
      </c>
      <c r="F352" t="s">
        <v>49</v>
      </c>
      <c r="G352" t="s">
        <v>14</v>
      </c>
      <c r="H352" t="s">
        <v>369</v>
      </c>
      <c r="I352">
        <v>0</v>
      </c>
      <c r="J352" t="s">
        <v>16</v>
      </c>
    </row>
    <row r="353" spans="1:10" x14ac:dyDescent="0.3">
      <c r="A353" t="s">
        <v>542</v>
      </c>
      <c r="B353" t="s">
        <v>532</v>
      </c>
      <c r="C353" t="s">
        <v>28</v>
      </c>
      <c r="D353">
        <v>2274.23</v>
      </c>
      <c r="E353">
        <v>37</v>
      </c>
      <c r="F353" t="s">
        <v>19</v>
      </c>
      <c r="G353" t="s">
        <v>29</v>
      </c>
      <c r="H353" t="s">
        <v>369</v>
      </c>
      <c r="I353">
        <v>1</v>
      </c>
      <c r="J353" t="s">
        <v>30</v>
      </c>
    </row>
    <row r="354" spans="1:10" x14ac:dyDescent="0.3">
      <c r="A354" t="s">
        <v>548</v>
      </c>
      <c r="B354" t="s">
        <v>549</v>
      </c>
      <c r="C354" t="s">
        <v>35</v>
      </c>
      <c r="D354">
        <v>4894.12</v>
      </c>
      <c r="E354">
        <v>18</v>
      </c>
      <c r="F354" t="s">
        <v>36</v>
      </c>
      <c r="G354" t="s">
        <v>29</v>
      </c>
      <c r="H354" t="s">
        <v>369</v>
      </c>
      <c r="I354">
        <v>1</v>
      </c>
      <c r="J354" t="s">
        <v>30</v>
      </c>
    </row>
    <row r="355" spans="1:10" x14ac:dyDescent="0.3">
      <c r="A355" t="s">
        <v>520</v>
      </c>
      <c r="B355" t="s">
        <v>550</v>
      </c>
      <c r="C355" t="s">
        <v>23</v>
      </c>
      <c r="D355">
        <v>4728.5</v>
      </c>
      <c r="E355">
        <v>28</v>
      </c>
      <c r="F355" t="s">
        <v>45</v>
      </c>
      <c r="G355" t="s">
        <v>14</v>
      </c>
      <c r="H355" t="s">
        <v>369</v>
      </c>
      <c r="I355">
        <v>0</v>
      </c>
      <c r="J355" t="s">
        <v>16</v>
      </c>
    </row>
    <row r="356" spans="1:10" x14ac:dyDescent="0.3">
      <c r="A356" t="s">
        <v>551</v>
      </c>
      <c r="B356" t="s">
        <v>552</v>
      </c>
      <c r="C356" t="s">
        <v>23</v>
      </c>
      <c r="D356">
        <v>686.42</v>
      </c>
      <c r="E356">
        <v>29</v>
      </c>
      <c r="F356" t="s">
        <v>13</v>
      </c>
      <c r="G356" t="s">
        <v>29</v>
      </c>
      <c r="H356" t="s">
        <v>369</v>
      </c>
      <c r="I356">
        <v>1</v>
      </c>
      <c r="J356" t="s">
        <v>30</v>
      </c>
    </row>
    <row r="357" spans="1:10" x14ac:dyDescent="0.3">
      <c r="A357" t="s">
        <v>78</v>
      </c>
      <c r="B357" t="s">
        <v>553</v>
      </c>
      <c r="C357" t="s">
        <v>35</v>
      </c>
      <c r="D357">
        <v>4162.63</v>
      </c>
      <c r="E357">
        <v>7</v>
      </c>
      <c r="F357" t="s">
        <v>45</v>
      </c>
      <c r="G357" t="s">
        <v>46</v>
      </c>
      <c r="H357" t="s">
        <v>369</v>
      </c>
      <c r="I357">
        <v>1</v>
      </c>
      <c r="J357" t="s">
        <v>30</v>
      </c>
    </row>
    <row r="358" spans="1:10" x14ac:dyDescent="0.3">
      <c r="A358" t="s">
        <v>178</v>
      </c>
      <c r="B358" t="s">
        <v>124</v>
      </c>
      <c r="C358" t="s">
        <v>12</v>
      </c>
      <c r="D358">
        <v>1452.22</v>
      </c>
      <c r="E358">
        <v>42</v>
      </c>
      <c r="F358" t="s">
        <v>49</v>
      </c>
      <c r="G358" t="s">
        <v>14</v>
      </c>
      <c r="H358" t="s">
        <v>369</v>
      </c>
      <c r="I358">
        <v>0</v>
      </c>
      <c r="J358" t="s">
        <v>16</v>
      </c>
    </row>
    <row r="359" spans="1:10" x14ac:dyDescent="0.3">
      <c r="A359" t="s">
        <v>554</v>
      </c>
      <c r="B359" t="s">
        <v>555</v>
      </c>
      <c r="C359" t="s">
        <v>28</v>
      </c>
      <c r="D359">
        <v>2280.69</v>
      </c>
      <c r="E359">
        <v>22</v>
      </c>
      <c r="F359" t="s">
        <v>49</v>
      </c>
      <c r="G359" t="s">
        <v>20</v>
      </c>
      <c r="H359" t="s">
        <v>369</v>
      </c>
      <c r="I359">
        <v>0</v>
      </c>
      <c r="J359" t="s">
        <v>16</v>
      </c>
    </row>
    <row r="360" spans="1:10" x14ac:dyDescent="0.3">
      <c r="A360" t="s">
        <v>556</v>
      </c>
      <c r="B360" t="s">
        <v>557</v>
      </c>
      <c r="C360" t="s">
        <v>23</v>
      </c>
      <c r="D360">
        <v>923.33</v>
      </c>
      <c r="E360">
        <v>5</v>
      </c>
      <c r="F360" t="s">
        <v>19</v>
      </c>
      <c r="G360" t="s">
        <v>14</v>
      </c>
      <c r="H360" t="s">
        <v>369</v>
      </c>
      <c r="I360">
        <v>0</v>
      </c>
      <c r="J360" t="s">
        <v>16</v>
      </c>
    </row>
    <row r="361" spans="1:10" x14ac:dyDescent="0.3">
      <c r="A361" t="s">
        <v>558</v>
      </c>
      <c r="B361" t="s">
        <v>559</v>
      </c>
      <c r="C361" t="s">
        <v>28</v>
      </c>
      <c r="D361">
        <v>4368.13</v>
      </c>
      <c r="E361">
        <v>7</v>
      </c>
      <c r="F361" t="s">
        <v>49</v>
      </c>
      <c r="G361" t="s">
        <v>25</v>
      </c>
      <c r="H361" t="s">
        <v>369</v>
      </c>
      <c r="I361">
        <v>1</v>
      </c>
      <c r="J361" t="s">
        <v>30</v>
      </c>
    </row>
    <row r="362" spans="1:10" x14ac:dyDescent="0.3">
      <c r="A362" t="s">
        <v>560</v>
      </c>
      <c r="B362" t="s">
        <v>402</v>
      </c>
      <c r="C362" t="s">
        <v>28</v>
      </c>
      <c r="D362">
        <v>3557.8</v>
      </c>
      <c r="E362">
        <v>30</v>
      </c>
      <c r="F362" t="s">
        <v>13</v>
      </c>
      <c r="G362" t="s">
        <v>20</v>
      </c>
      <c r="H362" t="s">
        <v>369</v>
      </c>
      <c r="I362">
        <v>0</v>
      </c>
      <c r="J362" t="s">
        <v>16</v>
      </c>
    </row>
    <row r="363" spans="1:10" x14ac:dyDescent="0.3">
      <c r="A363" t="s">
        <v>561</v>
      </c>
      <c r="B363" t="s">
        <v>562</v>
      </c>
      <c r="C363" t="s">
        <v>28</v>
      </c>
      <c r="D363">
        <v>3968.68</v>
      </c>
      <c r="E363">
        <v>11</v>
      </c>
      <c r="F363" t="s">
        <v>45</v>
      </c>
      <c r="G363" t="s">
        <v>46</v>
      </c>
      <c r="H363" t="s">
        <v>369</v>
      </c>
      <c r="I363">
        <v>0</v>
      </c>
      <c r="J363" t="s">
        <v>16</v>
      </c>
    </row>
    <row r="364" spans="1:10" x14ac:dyDescent="0.3">
      <c r="A364" t="s">
        <v>531</v>
      </c>
      <c r="B364" t="s">
        <v>563</v>
      </c>
      <c r="C364" t="s">
        <v>35</v>
      </c>
      <c r="D364">
        <v>566.05999999999995</v>
      </c>
      <c r="E364">
        <v>46</v>
      </c>
      <c r="F364" t="s">
        <v>19</v>
      </c>
      <c r="G364" t="s">
        <v>29</v>
      </c>
      <c r="H364" t="s">
        <v>369</v>
      </c>
      <c r="I364">
        <v>0</v>
      </c>
      <c r="J364" t="s">
        <v>16</v>
      </c>
    </row>
    <row r="365" spans="1:10" x14ac:dyDescent="0.3">
      <c r="A365" t="s">
        <v>415</v>
      </c>
      <c r="B365" t="s">
        <v>564</v>
      </c>
      <c r="C365" t="s">
        <v>28</v>
      </c>
      <c r="D365">
        <v>2306.44</v>
      </c>
      <c r="E365">
        <v>19</v>
      </c>
      <c r="F365" t="s">
        <v>36</v>
      </c>
      <c r="G365" t="s">
        <v>14</v>
      </c>
      <c r="H365" t="s">
        <v>369</v>
      </c>
      <c r="I365">
        <v>1</v>
      </c>
      <c r="J365" t="s">
        <v>30</v>
      </c>
    </row>
    <row r="366" spans="1:10" x14ac:dyDescent="0.3">
      <c r="A366" t="s">
        <v>565</v>
      </c>
      <c r="B366" t="s">
        <v>566</v>
      </c>
      <c r="C366" t="s">
        <v>28</v>
      </c>
      <c r="D366">
        <v>4559.42</v>
      </c>
      <c r="E366">
        <v>14</v>
      </c>
      <c r="F366" t="s">
        <v>49</v>
      </c>
      <c r="G366" t="s">
        <v>46</v>
      </c>
      <c r="H366" t="s">
        <v>369</v>
      </c>
      <c r="I366">
        <v>0</v>
      </c>
      <c r="J366" t="s">
        <v>16</v>
      </c>
    </row>
    <row r="367" spans="1:10" x14ac:dyDescent="0.3">
      <c r="A367" t="s">
        <v>567</v>
      </c>
      <c r="B367" t="s">
        <v>188</v>
      </c>
      <c r="C367" t="s">
        <v>23</v>
      </c>
      <c r="D367">
        <v>4041.35</v>
      </c>
      <c r="E367">
        <v>17</v>
      </c>
      <c r="F367" t="s">
        <v>49</v>
      </c>
      <c r="G367" t="s">
        <v>14</v>
      </c>
      <c r="H367" t="s">
        <v>369</v>
      </c>
      <c r="I367">
        <v>1</v>
      </c>
      <c r="J367" t="s">
        <v>30</v>
      </c>
    </row>
    <row r="368" spans="1:10" x14ac:dyDescent="0.3">
      <c r="A368" t="s">
        <v>242</v>
      </c>
      <c r="B368" t="s">
        <v>343</v>
      </c>
      <c r="C368" t="s">
        <v>23</v>
      </c>
      <c r="D368">
        <v>2789.71</v>
      </c>
      <c r="E368">
        <v>11</v>
      </c>
      <c r="F368" t="s">
        <v>36</v>
      </c>
      <c r="G368" t="s">
        <v>29</v>
      </c>
      <c r="H368" t="s">
        <v>369</v>
      </c>
      <c r="I368">
        <v>1</v>
      </c>
      <c r="J368" t="s">
        <v>30</v>
      </c>
    </row>
    <row r="369" spans="1:10" x14ac:dyDescent="0.3">
      <c r="A369" t="s">
        <v>568</v>
      </c>
      <c r="B369" t="s">
        <v>287</v>
      </c>
      <c r="C369" t="s">
        <v>35</v>
      </c>
      <c r="D369">
        <v>1624.91</v>
      </c>
      <c r="E369">
        <v>40</v>
      </c>
      <c r="F369" t="s">
        <v>49</v>
      </c>
      <c r="G369" t="s">
        <v>46</v>
      </c>
      <c r="H369" t="s">
        <v>369</v>
      </c>
      <c r="I369">
        <v>0</v>
      </c>
      <c r="J369" t="s">
        <v>16</v>
      </c>
    </row>
    <row r="370" spans="1:10" x14ac:dyDescent="0.3">
      <c r="A370" t="s">
        <v>437</v>
      </c>
      <c r="B370" t="s">
        <v>569</v>
      </c>
      <c r="C370" t="s">
        <v>35</v>
      </c>
      <c r="D370">
        <v>3468.43</v>
      </c>
      <c r="E370">
        <v>23</v>
      </c>
      <c r="F370" t="s">
        <v>36</v>
      </c>
      <c r="G370" t="s">
        <v>14</v>
      </c>
      <c r="H370" t="s">
        <v>369</v>
      </c>
      <c r="I370">
        <v>1</v>
      </c>
      <c r="J370" t="s">
        <v>30</v>
      </c>
    </row>
    <row r="371" spans="1:10" x14ac:dyDescent="0.3">
      <c r="A371" t="s">
        <v>570</v>
      </c>
      <c r="B371" t="s">
        <v>571</v>
      </c>
      <c r="C371" t="s">
        <v>12</v>
      </c>
      <c r="D371">
        <v>3145.63</v>
      </c>
      <c r="E371">
        <v>40</v>
      </c>
      <c r="F371" t="s">
        <v>19</v>
      </c>
      <c r="G371" t="s">
        <v>58</v>
      </c>
      <c r="H371" t="s">
        <v>369</v>
      </c>
      <c r="I371">
        <v>0</v>
      </c>
      <c r="J371" t="s">
        <v>16</v>
      </c>
    </row>
    <row r="372" spans="1:10" x14ac:dyDescent="0.3">
      <c r="A372" t="s">
        <v>572</v>
      </c>
      <c r="B372" t="s">
        <v>573</v>
      </c>
      <c r="C372" t="s">
        <v>23</v>
      </c>
      <c r="D372">
        <v>4689.46</v>
      </c>
      <c r="E372">
        <v>20</v>
      </c>
      <c r="F372" t="s">
        <v>36</v>
      </c>
      <c r="G372" t="s">
        <v>14</v>
      </c>
      <c r="H372" t="s">
        <v>369</v>
      </c>
      <c r="I372">
        <v>1</v>
      </c>
      <c r="J372" t="s">
        <v>30</v>
      </c>
    </row>
    <row r="373" spans="1:10" x14ac:dyDescent="0.3">
      <c r="A373" t="s">
        <v>574</v>
      </c>
      <c r="B373" t="s">
        <v>575</v>
      </c>
      <c r="C373" t="s">
        <v>23</v>
      </c>
      <c r="D373">
        <v>4216.62</v>
      </c>
      <c r="E373">
        <v>3</v>
      </c>
      <c r="F373" t="s">
        <v>13</v>
      </c>
      <c r="G373" t="s">
        <v>14</v>
      </c>
      <c r="H373" t="s">
        <v>369</v>
      </c>
      <c r="I373">
        <v>0</v>
      </c>
      <c r="J373" t="s">
        <v>16</v>
      </c>
    </row>
    <row r="374" spans="1:10" x14ac:dyDescent="0.3">
      <c r="A374" t="s">
        <v>576</v>
      </c>
      <c r="B374" t="s">
        <v>272</v>
      </c>
      <c r="C374" t="s">
        <v>23</v>
      </c>
      <c r="D374">
        <v>3991.42</v>
      </c>
      <c r="E374">
        <v>12</v>
      </c>
      <c r="F374" t="s">
        <v>49</v>
      </c>
      <c r="G374" t="s">
        <v>29</v>
      </c>
      <c r="H374" t="s">
        <v>369</v>
      </c>
      <c r="I374">
        <v>1</v>
      </c>
      <c r="J374" t="s">
        <v>30</v>
      </c>
    </row>
    <row r="375" spans="1:10" x14ac:dyDescent="0.3">
      <c r="A375" t="s">
        <v>144</v>
      </c>
      <c r="B375" t="s">
        <v>577</v>
      </c>
      <c r="C375" t="s">
        <v>12</v>
      </c>
      <c r="D375">
        <v>1483.71</v>
      </c>
      <c r="E375">
        <v>17</v>
      </c>
      <c r="F375" t="s">
        <v>19</v>
      </c>
      <c r="G375" t="s">
        <v>20</v>
      </c>
      <c r="H375" t="s">
        <v>369</v>
      </c>
      <c r="I375">
        <v>0</v>
      </c>
      <c r="J375" t="s">
        <v>16</v>
      </c>
    </row>
    <row r="376" spans="1:10" x14ac:dyDescent="0.3">
      <c r="A376" t="s">
        <v>578</v>
      </c>
      <c r="B376" t="s">
        <v>579</v>
      </c>
      <c r="C376" t="s">
        <v>23</v>
      </c>
      <c r="D376">
        <v>1657.7</v>
      </c>
      <c r="E376">
        <v>17</v>
      </c>
      <c r="F376" t="s">
        <v>24</v>
      </c>
      <c r="G376" t="s">
        <v>25</v>
      </c>
      <c r="H376" t="s">
        <v>369</v>
      </c>
      <c r="I376">
        <v>1</v>
      </c>
      <c r="J376" t="s">
        <v>30</v>
      </c>
    </row>
    <row r="377" spans="1:10" x14ac:dyDescent="0.3">
      <c r="A377" t="s">
        <v>580</v>
      </c>
      <c r="B377" t="s">
        <v>581</v>
      </c>
      <c r="C377" t="s">
        <v>28</v>
      </c>
      <c r="D377">
        <v>3857.38</v>
      </c>
      <c r="E377">
        <v>36</v>
      </c>
      <c r="F377" t="s">
        <v>45</v>
      </c>
      <c r="G377" t="s">
        <v>58</v>
      </c>
      <c r="H377" t="s">
        <v>369</v>
      </c>
      <c r="I377">
        <v>0</v>
      </c>
      <c r="J377" t="s">
        <v>16</v>
      </c>
    </row>
    <row r="378" spans="1:10" x14ac:dyDescent="0.3">
      <c r="A378" t="s">
        <v>582</v>
      </c>
      <c r="B378" t="s">
        <v>583</v>
      </c>
      <c r="C378" t="s">
        <v>23</v>
      </c>
      <c r="D378">
        <v>3342.7</v>
      </c>
      <c r="E378">
        <v>29</v>
      </c>
      <c r="F378" t="s">
        <v>13</v>
      </c>
      <c r="G378" t="s">
        <v>25</v>
      </c>
      <c r="H378" t="s">
        <v>369</v>
      </c>
      <c r="I378">
        <v>1</v>
      </c>
      <c r="J378" t="s">
        <v>30</v>
      </c>
    </row>
    <row r="379" spans="1:10" x14ac:dyDescent="0.3">
      <c r="A379" t="s">
        <v>584</v>
      </c>
      <c r="B379" t="s">
        <v>585</v>
      </c>
      <c r="C379" t="s">
        <v>35</v>
      </c>
      <c r="D379">
        <v>3487.81</v>
      </c>
      <c r="E379">
        <v>10</v>
      </c>
      <c r="F379" t="s">
        <v>19</v>
      </c>
      <c r="G379" t="s">
        <v>25</v>
      </c>
      <c r="H379" t="s">
        <v>369</v>
      </c>
      <c r="I379">
        <v>0</v>
      </c>
      <c r="J379" t="s">
        <v>16</v>
      </c>
    </row>
    <row r="380" spans="1:10" x14ac:dyDescent="0.3">
      <c r="A380" t="s">
        <v>586</v>
      </c>
      <c r="B380" t="s">
        <v>418</v>
      </c>
      <c r="C380" t="s">
        <v>35</v>
      </c>
      <c r="D380">
        <v>4839.76</v>
      </c>
      <c r="E380">
        <v>29</v>
      </c>
      <c r="F380" t="s">
        <v>13</v>
      </c>
      <c r="G380" t="s">
        <v>14</v>
      </c>
      <c r="H380" t="s">
        <v>369</v>
      </c>
      <c r="I380">
        <v>1</v>
      </c>
      <c r="J380" t="s">
        <v>30</v>
      </c>
    </row>
    <row r="381" spans="1:10" x14ac:dyDescent="0.3">
      <c r="A381" t="s">
        <v>587</v>
      </c>
      <c r="B381" t="s">
        <v>588</v>
      </c>
      <c r="C381" t="s">
        <v>28</v>
      </c>
      <c r="D381">
        <v>2488.85</v>
      </c>
      <c r="E381">
        <v>26</v>
      </c>
      <c r="F381" t="s">
        <v>45</v>
      </c>
      <c r="G381" t="s">
        <v>29</v>
      </c>
      <c r="H381" t="s">
        <v>369</v>
      </c>
      <c r="I381">
        <v>0</v>
      </c>
      <c r="J381" t="s">
        <v>16</v>
      </c>
    </row>
    <row r="382" spans="1:10" x14ac:dyDescent="0.3">
      <c r="A382" t="s">
        <v>364</v>
      </c>
      <c r="B382" t="s">
        <v>589</v>
      </c>
      <c r="C382" t="s">
        <v>12</v>
      </c>
      <c r="D382">
        <v>656.41</v>
      </c>
      <c r="E382">
        <v>4</v>
      </c>
      <c r="F382" t="s">
        <v>45</v>
      </c>
      <c r="G382" t="s">
        <v>20</v>
      </c>
      <c r="H382" t="s">
        <v>369</v>
      </c>
      <c r="I382">
        <v>0</v>
      </c>
      <c r="J382" t="s">
        <v>16</v>
      </c>
    </row>
    <row r="383" spans="1:10" x14ac:dyDescent="0.3">
      <c r="A383" t="s">
        <v>590</v>
      </c>
      <c r="B383" t="s">
        <v>591</v>
      </c>
      <c r="C383" t="s">
        <v>28</v>
      </c>
      <c r="D383">
        <v>4250.0600000000004</v>
      </c>
      <c r="E383">
        <v>48</v>
      </c>
      <c r="F383" t="s">
        <v>49</v>
      </c>
      <c r="G383" t="s">
        <v>46</v>
      </c>
      <c r="H383" t="s">
        <v>369</v>
      </c>
      <c r="I383">
        <v>1</v>
      </c>
      <c r="J383" t="s">
        <v>30</v>
      </c>
    </row>
    <row r="384" spans="1:10" x14ac:dyDescent="0.3">
      <c r="A384" t="s">
        <v>592</v>
      </c>
      <c r="B384" t="s">
        <v>593</v>
      </c>
      <c r="C384" t="s">
        <v>12</v>
      </c>
      <c r="D384">
        <v>1131.5999999999999</v>
      </c>
      <c r="E384">
        <v>40</v>
      </c>
      <c r="F384" t="s">
        <v>45</v>
      </c>
      <c r="G384" t="s">
        <v>46</v>
      </c>
      <c r="H384" t="s">
        <v>369</v>
      </c>
      <c r="I384">
        <v>0</v>
      </c>
      <c r="J384" t="s">
        <v>16</v>
      </c>
    </row>
    <row r="385" spans="1:10" x14ac:dyDescent="0.3">
      <c r="A385" t="s">
        <v>594</v>
      </c>
      <c r="B385" t="s">
        <v>377</v>
      </c>
      <c r="C385" t="s">
        <v>35</v>
      </c>
      <c r="D385">
        <v>712.12</v>
      </c>
      <c r="E385">
        <v>38</v>
      </c>
      <c r="F385" t="s">
        <v>24</v>
      </c>
      <c r="G385" t="s">
        <v>29</v>
      </c>
      <c r="H385" t="s">
        <v>369</v>
      </c>
      <c r="I385">
        <v>1</v>
      </c>
      <c r="J385" t="s">
        <v>30</v>
      </c>
    </row>
    <row r="386" spans="1:10" x14ac:dyDescent="0.3">
      <c r="A386" t="s">
        <v>371</v>
      </c>
      <c r="B386" t="s">
        <v>128</v>
      </c>
      <c r="C386" t="s">
        <v>28</v>
      </c>
      <c r="D386">
        <v>1322.84</v>
      </c>
      <c r="E386">
        <v>42</v>
      </c>
      <c r="F386" t="s">
        <v>24</v>
      </c>
      <c r="G386" t="s">
        <v>14</v>
      </c>
      <c r="H386" t="s">
        <v>369</v>
      </c>
      <c r="I386">
        <v>1</v>
      </c>
      <c r="J386" t="s">
        <v>30</v>
      </c>
    </row>
    <row r="387" spans="1:10" x14ac:dyDescent="0.3">
      <c r="A387" t="s">
        <v>595</v>
      </c>
      <c r="B387" t="s">
        <v>336</v>
      </c>
      <c r="C387" t="s">
        <v>28</v>
      </c>
      <c r="D387">
        <v>810.66</v>
      </c>
      <c r="E387">
        <v>3</v>
      </c>
      <c r="F387" t="s">
        <v>45</v>
      </c>
      <c r="G387" t="s">
        <v>20</v>
      </c>
      <c r="H387" t="s">
        <v>369</v>
      </c>
      <c r="I387">
        <v>0</v>
      </c>
      <c r="J387" t="s">
        <v>16</v>
      </c>
    </row>
    <row r="388" spans="1:10" x14ac:dyDescent="0.3">
      <c r="A388" t="s">
        <v>332</v>
      </c>
      <c r="B388" t="s">
        <v>199</v>
      </c>
      <c r="C388" t="s">
        <v>12</v>
      </c>
      <c r="D388">
        <v>2126.92</v>
      </c>
      <c r="E388">
        <v>27</v>
      </c>
      <c r="F388" t="s">
        <v>45</v>
      </c>
      <c r="G388" t="s">
        <v>25</v>
      </c>
      <c r="H388" t="s">
        <v>369</v>
      </c>
      <c r="I388">
        <v>0</v>
      </c>
      <c r="J388" t="s">
        <v>16</v>
      </c>
    </row>
    <row r="389" spans="1:10" x14ac:dyDescent="0.3">
      <c r="A389" t="s">
        <v>596</v>
      </c>
      <c r="B389" t="s">
        <v>597</v>
      </c>
      <c r="C389" t="s">
        <v>12</v>
      </c>
      <c r="D389">
        <v>3385.88</v>
      </c>
      <c r="E389">
        <v>24</v>
      </c>
      <c r="F389" t="s">
        <v>45</v>
      </c>
      <c r="G389" t="s">
        <v>46</v>
      </c>
      <c r="H389" t="s">
        <v>369</v>
      </c>
      <c r="I389">
        <v>1</v>
      </c>
      <c r="J389" t="s">
        <v>30</v>
      </c>
    </row>
    <row r="390" spans="1:10" x14ac:dyDescent="0.3">
      <c r="A390" t="s">
        <v>598</v>
      </c>
      <c r="B390" t="s">
        <v>599</v>
      </c>
      <c r="C390" t="s">
        <v>28</v>
      </c>
      <c r="D390">
        <v>2158.98</v>
      </c>
      <c r="E390">
        <v>31</v>
      </c>
      <c r="F390" t="s">
        <v>13</v>
      </c>
      <c r="G390" t="s">
        <v>29</v>
      </c>
      <c r="H390" t="s">
        <v>369</v>
      </c>
      <c r="I390">
        <v>0</v>
      </c>
      <c r="J390" t="s">
        <v>16</v>
      </c>
    </row>
    <row r="391" spans="1:10" x14ac:dyDescent="0.3">
      <c r="A391" t="s">
        <v>544</v>
      </c>
      <c r="B391" t="s">
        <v>600</v>
      </c>
      <c r="C391" t="s">
        <v>12</v>
      </c>
      <c r="D391">
        <v>1010.46</v>
      </c>
      <c r="E391">
        <v>30</v>
      </c>
      <c r="F391" t="s">
        <v>49</v>
      </c>
      <c r="G391" t="s">
        <v>29</v>
      </c>
      <c r="H391" t="s">
        <v>369</v>
      </c>
      <c r="I391">
        <v>0</v>
      </c>
      <c r="J391" t="s">
        <v>16</v>
      </c>
    </row>
    <row r="392" spans="1:10" x14ac:dyDescent="0.3">
      <c r="A392" t="s">
        <v>601</v>
      </c>
      <c r="B392" t="s">
        <v>602</v>
      </c>
      <c r="C392" t="s">
        <v>35</v>
      </c>
      <c r="D392">
        <v>2496.85</v>
      </c>
      <c r="E392">
        <v>20</v>
      </c>
      <c r="F392" t="s">
        <v>36</v>
      </c>
      <c r="G392" t="s">
        <v>46</v>
      </c>
      <c r="H392" t="s">
        <v>369</v>
      </c>
      <c r="I392">
        <v>0</v>
      </c>
      <c r="J392" t="s">
        <v>16</v>
      </c>
    </row>
    <row r="393" spans="1:10" x14ac:dyDescent="0.3">
      <c r="A393" t="s">
        <v>364</v>
      </c>
      <c r="B393" t="s">
        <v>323</v>
      </c>
      <c r="C393" t="s">
        <v>12</v>
      </c>
      <c r="D393">
        <v>3501.44</v>
      </c>
      <c r="E393">
        <v>23</v>
      </c>
      <c r="F393" t="s">
        <v>13</v>
      </c>
      <c r="G393" t="s">
        <v>58</v>
      </c>
      <c r="H393" t="s">
        <v>369</v>
      </c>
      <c r="I393">
        <v>0</v>
      </c>
      <c r="J393" t="s">
        <v>16</v>
      </c>
    </row>
    <row r="394" spans="1:10" x14ac:dyDescent="0.3">
      <c r="A394" t="s">
        <v>456</v>
      </c>
      <c r="B394" t="s">
        <v>260</v>
      </c>
      <c r="C394" t="s">
        <v>28</v>
      </c>
      <c r="D394">
        <v>3932.32</v>
      </c>
      <c r="E394">
        <v>8</v>
      </c>
      <c r="F394" t="s">
        <v>13</v>
      </c>
      <c r="G394" t="s">
        <v>14</v>
      </c>
      <c r="H394" t="s">
        <v>369</v>
      </c>
      <c r="I394">
        <v>0</v>
      </c>
      <c r="J394" t="s">
        <v>16</v>
      </c>
    </row>
    <row r="395" spans="1:10" x14ac:dyDescent="0.3">
      <c r="A395" t="s">
        <v>535</v>
      </c>
      <c r="B395" t="s">
        <v>343</v>
      </c>
      <c r="C395" t="s">
        <v>12</v>
      </c>
      <c r="D395">
        <v>473.83</v>
      </c>
      <c r="E395">
        <v>44</v>
      </c>
      <c r="F395" t="s">
        <v>19</v>
      </c>
      <c r="G395" t="s">
        <v>20</v>
      </c>
      <c r="H395" t="s">
        <v>369</v>
      </c>
      <c r="I395">
        <v>0</v>
      </c>
      <c r="J395" t="s">
        <v>16</v>
      </c>
    </row>
    <row r="396" spans="1:10" x14ac:dyDescent="0.3">
      <c r="A396" t="s">
        <v>161</v>
      </c>
      <c r="B396" t="s">
        <v>603</v>
      </c>
      <c r="C396" t="s">
        <v>28</v>
      </c>
      <c r="D396">
        <v>4785.16</v>
      </c>
      <c r="E396">
        <v>12</v>
      </c>
      <c r="F396" t="s">
        <v>36</v>
      </c>
      <c r="G396" t="s">
        <v>46</v>
      </c>
      <c r="H396" t="s">
        <v>369</v>
      </c>
      <c r="I396">
        <v>1</v>
      </c>
      <c r="J396" t="s">
        <v>30</v>
      </c>
    </row>
    <row r="397" spans="1:10" x14ac:dyDescent="0.3">
      <c r="A397" t="s">
        <v>604</v>
      </c>
      <c r="B397" t="s">
        <v>605</v>
      </c>
      <c r="C397" t="s">
        <v>35</v>
      </c>
      <c r="D397">
        <v>1030.79</v>
      </c>
      <c r="E397">
        <v>31</v>
      </c>
      <c r="F397" t="s">
        <v>36</v>
      </c>
      <c r="G397" t="s">
        <v>29</v>
      </c>
      <c r="H397" t="s">
        <v>369</v>
      </c>
      <c r="I397">
        <v>0</v>
      </c>
      <c r="J397" t="s">
        <v>16</v>
      </c>
    </row>
    <row r="398" spans="1:10" x14ac:dyDescent="0.3">
      <c r="A398" t="s">
        <v>220</v>
      </c>
      <c r="B398" t="s">
        <v>360</v>
      </c>
      <c r="C398" t="s">
        <v>23</v>
      </c>
      <c r="D398">
        <v>4192.37</v>
      </c>
      <c r="E398">
        <v>50</v>
      </c>
      <c r="F398" t="s">
        <v>36</v>
      </c>
      <c r="G398" t="s">
        <v>58</v>
      </c>
      <c r="H398" t="s">
        <v>369</v>
      </c>
      <c r="I398">
        <v>0</v>
      </c>
      <c r="J398" t="s">
        <v>16</v>
      </c>
    </row>
    <row r="399" spans="1:10" x14ac:dyDescent="0.3">
      <c r="A399" t="s">
        <v>551</v>
      </c>
      <c r="B399" t="s">
        <v>606</v>
      </c>
      <c r="C399" t="s">
        <v>35</v>
      </c>
      <c r="D399">
        <v>3915.98</v>
      </c>
      <c r="E399">
        <v>32</v>
      </c>
      <c r="F399" t="s">
        <v>13</v>
      </c>
      <c r="G399" t="s">
        <v>46</v>
      </c>
      <c r="H399" t="s">
        <v>369</v>
      </c>
      <c r="I399">
        <v>0</v>
      </c>
      <c r="J399" t="s">
        <v>16</v>
      </c>
    </row>
    <row r="400" spans="1:10" x14ac:dyDescent="0.3">
      <c r="A400" t="s">
        <v>607</v>
      </c>
      <c r="B400" t="s">
        <v>608</v>
      </c>
      <c r="C400" t="s">
        <v>35</v>
      </c>
      <c r="D400">
        <v>3150.45</v>
      </c>
      <c r="E400">
        <v>30</v>
      </c>
      <c r="F400" t="s">
        <v>13</v>
      </c>
      <c r="G400" t="s">
        <v>29</v>
      </c>
      <c r="H400" t="s">
        <v>369</v>
      </c>
      <c r="I400">
        <v>1</v>
      </c>
      <c r="J400" t="s">
        <v>30</v>
      </c>
    </row>
    <row r="401" spans="1:10" x14ac:dyDescent="0.3">
      <c r="A401" t="s">
        <v>609</v>
      </c>
      <c r="B401" t="s">
        <v>297</v>
      </c>
      <c r="C401" t="s">
        <v>23</v>
      </c>
      <c r="D401">
        <v>1862.45</v>
      </c>
      <c r="E401">
        <v>33</v>
      </c>
      <c r="F401" t="s">
        <v>13</v>
      </c>
      <c r="G401" t="s">
        <v>58</v>
      </c>
      <c r="H401" t="s">
        <v>369</v>
      </c>
      <c r="I401">
        <v>0</v>
      </c>
      <c r="J401" t="s">
        <v>16</v>
      </c>
    </row>
    <row r="402" spans="1:10" x14ac:dyDescent="0.3">
      <c r="A402" t="s">
        <v>371</v>
      </c>
      <c r="B402" t="s">
        <v>481</v>
      </c>
      <c r="C402" t="s">
        <v>28</v>
      </c>
      <c r="D402">
        <v>4029.32</v>
      </c>
      <c r="E402">
        <v>38</v>
      </c>
      <c r="F402" t="s">
        <v>19</v>
      </c>
      <c r="G402" t="s">
        <v>29</v>
      </c>
      <c r="H402" t="s">
        <v>369</v>
      </c>
      <c r="I402">
        <v>0</v>
      </c>
      <c r="J402" t="s">
        <v>16</v>
      </c>
    </row>
    <row r="403" spans="1:10" x14ac:dyDescent="0.3">
      <c r="A403" t="s">
        <v>463</v>
      </c>
      <c r="B403" t="s">
        <v>610</v>
      </c>
      <c r="C403" t="s">
        <v>12</v>
      </c>
      <c r="D403">
        <v>4487.1400000000003</v>
      </c>
      <c r="E403">
        <v>50</v>
      </c>
      <c r="F403" t="s">
        <v>49</v>
      </c>
      <c r="G403" t="s">
        <v>20</v>
      </c>
      <c r="H403" t="s">
        <v>369</v>
      </c>
      <c r="I403">
        <v>0</v>
      </c>
      <c r="J403" t="s">
        <v>16</v>
      </c>
    </row>
    <row r="404" spans="1:10" x14ac:dyDescent="0.3">
      <c r="A404" t="s">
        <v>86</v>
      </c>
      <c r="B404" t="s">
        <v>433</v>
      </c>
      <c r="C404" t="s">
        <v>23</v>
      </c>
      <c r="D404">
        <v>1449.9</v>
      </c>
      <c r="E404">
        <v>46</v>
      </c>
      <c r="F404" t="s">
        <v>19</v>
      </c>
      <c r="G404" t="s">
        <v>58</v>
      </c>
      <c r="H404" t="s">
        <v>369</v>
      </c>
      <c r="I404">
        <v>0</v>
      </c>
      <c r="J404" t="s">
        <v>16</v>
      </c>
    </row>
    <row r="405" spans="1:10" x14ac:dyDescent="0.3">
      <c r="A405" t="s">
        <v>10</v>
      </c>
      <c r="B405" t="s">
        <v>611</v>
      </c>
      <c r="C405" t="s">
        <v>35</v>
      </c>
      <c r="D405">
        <v>2984.88</v>
      </c>
      <c r="E405">
        <v>20</v>
      </c>
      <c r="F405" t="s">
        <v>19</v>
      </c>
      <c r="G405" t="s">
        <v>20</v>
      </c>
      <c r="H405" t="s">
        <v>369</v>
      </c>
      <c r="I405">
        <v>1</v>
      </c>
      <c r="J405" t="s">
        <v>30</v>
      </c>
    </row>
    <row r="406" spans="1:10" x14ac:dyDescent="0.3">
      <c r="A406" t="s">
        <v>612</v>
      </c>
      <c r="B406" t="s">
        <v>593</v>
      </c>
      <c r="C406" t="s">
        <v>28</v>
      </c>
      <c r="D406">
        <v>4835.45</v>
      </c>
      <c r="E406">
        <v>49</v>
      </c>
      <c r="F406" t="s">
        <v>45</v>
      </c>
      <c r="G406" t="s">
        <v>58</v>
      </c>
      <c r="H406" t="s">
        <v>369</v>
      </c>
      <c r="I406">
        <v>0</v>
      </c>
      <c r="J406" t="s">
        <v>16</v>
      </c>
    </row>
    <row r="407" spans="1:10" x14ac:dyDescent="0.3">
      <c r="A407" t="s">
        <v>584</v>
      </c>
      <c r="B407" t="s">
        <v>613</v>
      </c>
      <c r="C407" t="s">
        <v>28</v>
      </c>
      <c r="D407">
        <v>93.55</v>
      </c>
      <c r="E407">
        <v>46</v>
      </c>
      <c r="F407" t="s">
        <v>19</v>
      </c>
      <c r="G407" t="s">
        <v>25</v>
      </c>
      <c r="H407" t="s">
        <v>369</v>
      </c>
      <c r="I407">
        <v>0</v>
      </c>
      <c r="J407" t="s">
        <v>16</v>
      </c>
    </row>
    <row r="408" spans="1:10" x14ac:dyDescent="0.3">
      <c r="A408" t="s">
        <v>279</v>
      </c>
      <c r="B408" t="s">
        <v>614</v>
      </c>
      <c r="C408" t="s">
        <v>35</v>
      </c>
      <c r="D408">
        <v>4830.6400000000003</v>
      </c>
      <c r="E408">
        <v>26</v>
      </c>
      <c r="F408" t="s">
        <v>36</v>
      </c>
      <c r="G408" t="s">
        <v>58</v>
      </c>
      <c r="H408" t="s">
        <v>615</v>
      </c>
      <c r="I408">
        <v>0</v>
      </c>
      <c r="J408" t="s">
        <v>16</v>
      </c>
    </row>
    <row r="409" spans="1:10" x14ac:dyDescent="0.3">
      <c r="A409" t="s">
        <v>407</v>
      </c>
      <c r="B409" t="s">
        <v>616</v>
      </c>
      <c r="C409" t="s">
        <v>28</v>
      </c>
      <c r="D409">
        <v>3478.76</v>
      </c>
      <c r="E409">
        <v>8</v>
      </c>
      <c r="F409" t="s">
        <v>45</v>
      </c>
      <c r="G409" t="s">
        <v>14</v>
      </c>
      <c r="H409" t="s">
        <v>615</v>
      </c>
      <c r="I409">
        <v>0</v>
      </c>
      <c r="J409" t="s">
        <v>16</v>
      </c>
    </row>
    <row r="410" spans="1:10" x14ac:dyDescent="0.3">
      <c r="A410" t="s">
        <v>340</v>
      </c>
      <c r="B410" t="s">
        <v>617</v>
      </c>
      <c r="C410" t="s">
        <v>35</v>
      </c>
      <c r="D410">
        <v>124.1</v>
      </c>
      <c r="E410">
        <v>4</v>
      </c>
      <c r="F410" t="s">
        <v>36</v>
      </c>
      <c r="G410" t="s">
        <v>25</v>
      </c>
      <c r="H410" t="s">
        <v>615</v>
      </c>
      <c r="I410">
        <v>1</v>
      </c>
      <c r="J410" t="s">
        <v>30</v>
      </c>
    </row>
    <row r="411" spans="1:10" x14ac:dyDescent="0.3">
      <c r="A411" t="s">
        <v>535</v>
      </c>
      <c r="B411" t="s">
        <v>618</v>
      </c>
      <c r="C411" t="s">
        <v>12</v>
      </c>
      <c r="D411">
        <v>471.56</v>
      </c>
      <c r="E411">
        <v>17</v>
      </c>
      <c r="F411" t="s">
        <v>45</v>
      </c>
      <c r="G411" t="s">
        <v>46</v>
      </c>
      <c r="H411" t="s">
        <v>615</v>
      </c>
      <c r="I411">
        <v>0</v>
      </c>
      <c r="J411" t="s">
        <v>16</v>
      </c>
    </row>
    <row r="412" spans="1:10" x14ac:dyDescent="0.3">
      <c r="A412" t="s">
        <v>619</v>
      </c>
      <c r="B412" t="s">
        <v>199</v>
      </c>
      <c r="C412" t="s">
        <v>35</v>
      </c>
      <c r="D412">
        <v>964.31</v>
      </c>
      <c r="E412">
        <v>17</v>
      </c>
      <c r="F412" t="s">
        <v>45</v>
      </c>
      <c r="G412" t="s">
        <v>25</v>
      </c>
      <c r="H412" t="s">
        <v>615</v>
      </c>
      <c r="I412">
        <v>0</v>
      </c>
      <c r="J412" t="s">
        <v>16</v>
      </c>
    </row>
    <row r="413" spans="1:10" x14ac:dyDescent="0.3">
      <c r="A413" t="s">
        <v>242</v>
      </c>
      <c r="B413" t="s">
        <v>620</v>
      </c>
      <c r="C413" t="s">
        <v>35</v>
      </c>
      <c r="D413">
        <v>1089.75</v>
      </c>
      <c r="E413">
        <v>6</v>
      </c>
      <c r="F413" t="s">
        <v>45</v>
      </c>
      <c r="G413" t="s">
        <v>25</v>
      </c>
      <c r="H413" t="s">
        <v>615</v>
      </c>
      <c r="I413">
        <v>0</v>
      </c>
      <c r="J413" t="s">
        <v>16</v>
      </c>
    </row>
    <row r="414" spans="1:10" x14ac:dyDescent="0.3">
      <c r="A414" t="s">
        <v>359</v>
      </c>
      <c r="B414" t="s">
        <v>621</v>
      </c>
      <c r="C414" t="s">
        <v>23</v>
      </c>
      <c r="D414">
        <v>2278.7399999999998</v>
      </c>
      <c r="E414">
        <v>2</v>
      </c>
      <c r="F414" t="s">
        <v>49</v>
      </c>
      <c r="G414" t="s">
        <v>20</v>
      </c>
      <c r="H414" t="s">
        <v>615</v>
      </c>
      <c r="I414">
        <v>0</v>
      </c>
      <c r="J414" t="s">
        <v>16</v>
      </c>
    </row>
    <row r="415" spans="1:10" x14ac:dyDescent="0.3">
      <c r="A415" t="s">
        <v>622</v>
      </c>
      <c r="B415" t="s">
        <v>621</v>
      </c>
      <c r="C415" t="s">
        <v>12</v>
      </c>
      <c r="D415">
        <v>2690.04</v>
      </c>
      <c r="E415">
        <v>45</v>
      </c>
      <c r="F415" t="s">
        <v>36</v>
      </c>
      <c r="G415" t="s">
        <v>46</v>
      </c>
      <c r="H415" t="s">
        <v>615</v>
      </c>
      <c r="I415">
        <v>1</v>
      </c>
      <c r="J415" t="s">
        <v>30</v>
      </c>
    </row>
    <row r="416" spans="1:10" x14ac:dyDescent="0.3">
      <c r="A416" t="s">
        <v>623</v>
      </c>
      <c r="B416" t="s">
        <v>203</v>
      </c>
      <c r="C416" t="s">
        <v>28</v>
      </c>
      <c r="D416">
        <v>26.11</v>
      </c>
      <c r="E416">
        <v>36</v>
      </c>
      <c r="F416" t="s">
        <v>19</v>
      </c>
      <c r="G416" t="s">
        <v>29</v>
      </c>
      <c r="H416" t="s">
        <v>615</v>
      </c>
      <c r="I416">
        <v>1</v>
      </c>
      <c r="J416" t="s">
        <v>30</v>
      </c>
    </row>
    <row r="417" spans="1:10" x14ac:dyDescent="0.3">
      <c r="A417" t="s">
        <v>624</v>
      </c>
      <c r="B417" t="s">
        <v>625</v>
      </c>
      <c r="C417" t="s">
        <v>28</v>
      </c>
      <c r="D417">
        <v>248.47</v>
      </c>
      <c r="E417">
        <v>38</v>
      </c>
      <c r="F417" t="s">
        <v>19</v>
      </c>
      <c r="G417" t="s">
        <v>25</v>
      </c>
      <c r="H417" t="s">
        <v>615</v>
      </c>
      <c r="I417">
        <v>0</v>
      </c>
      <c r="J417" t="s">
        <v>16</v>
      </c>
    </row>
    <row r="418" spans="1:10" x14ac:dyDescent="0.3">
      <c r="A418" t="s">
        <v>626</v>
      </c>
      <c r="B418" t="s">
        <v>627</v>
      </c>
      <c r="C418" t="s">
        <v>23</v>
      </c>
      <c r="D418">
        <v>3841.97</v>
      </c>
      <c r="E418">
        <v>34</v>
      </c>
      <c r="F418" t="s">
        <v>45</v>
      </c>
      <c r="G418" t="s">
        <v>29</v>
      </c>
      <c r="H418" t="s">
        <v>615</v>
      </c>
      <c r="I418">
        <v>0</v>
      </c>
      <c r="J418" t="s">
        <v>16</v>
      </c>
    </row>
    <row r="419" spans="1:10" x14ac:dyDescent="0.3">
      <c r="A419" t="s">
        <v>628</v>
      </c>
      <c r="B419" t="s">
        <v>629</v>
      </c>
      <c r="C419" t="s">
        <v>12</v>
      </c>
      <c r="D419">
        <v>1562.69</v>
      </c>
      <c r="E419">
        <v>3</v>
      </c>
      <c r="F419" t="s">
        <v>24</v>
      </c>
      <c r="G419" t="s">
        <v>25</v>
      </c>
      <c r="H419" t="s">
        <v>615</v>
      </c>
      <c r="I419">
        <v>0</v>
      </c>
      <c r="J419" t="s">
        <v>16</v>
      </c>
    </row>
    <row r="420" spans="1:10" x14ac:dyDescent="0.3">
      <c r="A420" t="s">
        <v>630</v>
      </c>
      <c r="B420" t="s">
        <v>631</v>
      </c>
      <c r="C420" t="s">
        <v>35</v>
      </c>
      <c r="D420">
        <v>2588.33</v>
      </c>
      <c r="E420">
        <v>29</v>
      </c>
      <c r="F420" t="s">
        <v>19</v>
      </c>
      <c r="G420" t="s">
        <v>46</v>
      </c>
      <c r="H420" t="s">
        <v>615</v>
      </c>
      <c r="I420">
        <v>1</v>
      </c>
      <c r="J420" t="s">
        <v>30</v>
      </c>
    </row>
    <row r="421" spans="1:10" x14ac:dyDescent="0.3">
      <c r="A421" t="s">
        <v>632</v>
      </c>
      <c r="B421" t="s">
        <v>379</v>
      </c>
      <c r="C421" t="s">
        <v>28</v>
      </c>
      <c r="D421">
        <v>4434.96</v>
      </c>
      <c r="E421">
        <v>29</v>
      </c>
      <c r="F421" t="s">
        <v>13</v>
      </c>
      <c r="G421" t="s">
        <v>46</v>
      </c>
      <c r="H421" t="s">
        <v>615</v>
      </c>
      <c r="I421">
        <v>0</v>
      </c>
      <c r="J421" t="s">
        <v>16</v>
      </c>
    </row>
    <row r="422" spans="1:10" x14ac:dyDescent="0.3">
      <c r="A422" t="s">
        <v>66</v>
      </c>
      <c r="B422" t="s">
        <v>199</v>
      </c>
      <c r="C422" t="s">
        <v>28</v>
      </c>
      <c r="D422">
        <v>1378.57</v>
      </c>
      <c r="E422">
        <v>6</v>
      </c>
      <c r="F422" t="s">
        <v>49</v>
      </c>
      <c r="G422" t="s">
        <v>25</v>
      </c>
      <c r="H422" t="s">
        <v>615</v>
      </c>
      <c r="I422">
        <v>0</v>
      </c>
      <c r="J422" t="s">
        <v>16</v>
      </c>
    </row>
    <row r="423" spans="1:10" x14ac:dyDescent="0.3">
      <c r="A423" t="s">
        <v>505</v>
      </c>
      <c r="B423" t="s">
        <v>392</v>
      </c>
      <c r="C423" t="s">
        <v>28</v>
      </c>
      <c r="D423">
        <v>1506.98</v>
      </c>
      <c r="E423">
        <v>13</v>
      </c>
      <c r="F423" t="s">
        <v>19</v>
      </c>
      <c r="G423" t="s">
        <v>20</v>
      </c>
      <c r="H423" t="s">
        <v>615</v>
      </c>
      <c r="I423">
        <v>1</v>
      </c>
      <c r="J423" t="s">
        <v>30</v>
      </c>
    </row>
    <row r="424" spans="1:10" x14ac:dyDescent="0.3">
      <c r="A424" t="s">
        <v>592</v>
      </c>
      <c r="B424" t="s">
        <v>438</v>
      </c>
      <c r="C424" t="s">
        <v>12</v>
      </c>
      <c r="D424">
        <v>3161.42</v>
      </c>
      <c r="E424">
        <v>21</v>
      </c>
      <c r="F424" t="s">
        <v>45</v>
      </c>
      <c r="G424" t="s">
        <v>14</v>
      </c>
      <c r="H424" t="s">
        <v>615</v>
      </c>
      <c r="I424">
        <v>0</v>
      </c>
      <c r="J424" t="s">
        <v>16</v>
      </c>
    </row>
    <row r="425" spans="1:10" x14ac:dyDescent="0.3">
      <c r="A425" t="s">
        <v>633</v>
      </c>
      <c r="B425" t="s">
        <v>575</v>
      </c>
      <c r="C425" t="s">
        <v>12</v>
      </c>
      <c r="D425">
        <v>4039.09</v>
      </c>
      <c r="E425">
        <v>4</v>
      </c>
      <c r="F425" t="s">
        <v>13</v>
      </c>
      <c r="G425" t="s">
        <v>46</v>
      </c>
      <c r="H425" t="s">
        <v>615</v>
      </c>
      <c r="I425">
        <v>0</v>
      </c>
      <c r="J425" t="s">
        <v>16</v>
      </c>
    </row>
    <row r="426" spans="1:10" x14ac:dyDescent="0.3">
      <c r="A426" t="s">
        <v>415</v>
      </c>
      <c r="B426" t="s">
        <v>634</v>
      </c>
      <c r="C426" t="s">
        <v>28</v>
      </c>
      <c r="D426">
        <v>496.53</v>
      </c>
      <c r="E426">
        <v>32</v>
      </c>
      <c r="F426" t="s">
        <v>13</v>
      </c>
      <c r="G426" t="s">
        <v>46</v>
      </c>
      <c r="H426" t="s">
        <v>615</v>
      </c>
      <c r="I426">
        <v>0</v>
      </c>
      <c r="J426" t="s">
        <v>16</v>
      </c>
    </row>
    <row r="427" spans="1:10" x14ac:dyDescent="0.3">
      <c r="A427" t="s">
        <v>97</v>
      </c>
      <c r="B427" t="s">
        <v>635</v>
      </c>
      <c r="C427" t="s">
        <v>23</v>
      </c>
      <c r="D427">
        <v>2453.69</v>
      </c>
      <c r="E427">
        <v>25</v>
      </c>
      <c r="F427" t="s">
        <v>36</v>
      </c>
      <c r="G427" t="s">
        <v>46</v>
      </c>
      <c r="H427" t="s">
        <v>615</v>
      </c>
      <c r="I427">
        <v>1</v>
      </c>
      <c r="J427" t="s">
        <v>30</v>
      </c>
    </row>
    <row r="428" spans="1:10" x14ac:dyDescent="0.3">
      <c r="A428" t="s">
        <v>41</v>
      </c>
      <c r="B428" t="s">
        <v>636</v>
      </c>
      <c r="C428" t="s">
        <v>35</v>
      </c>
      <c r="D428">
        <v>276.88</v>
      </c>
      <c r="E428">
        <v>43</v>
      </c>
      <c r="F428" t="s">
        <v>45</v>
      </c>
      <c r="G428" t="s">
        <v>46</v>
      </c>
      <c r="H428" t="s">
        <v>615</v>
      </c>
      <c r="I428">
        <v>0</v>
      </c>
      <c r="J428" t="s">
        <v>16</v>
      </c>
    </row>
    <row r="429" spans="1:10" x14ac:dyDescent="0.3">
      <c r="A429" t="s">
        <v>637</v>
      </c>
      <c r="B429" t="s">
        <v>158</v>
      </c>
      <c r="C429" t="s">
        <v>28</v>
      </c>
      <c r="D429">
        <v>3673.05</v>
      </c>
      <c r="E429">
        <v>34</v>
      </c>
      <c r="F429" t="s">
        <v>13</v>
      </c>
      <c r="G429" t="s">
        <v>14</v>
      </c>
      <c r="H429" t="s">
        <v>615</v>
      </c>
      <c r="I429">
        <v>0</v>
      </c>
      <c r="J429" t="s">
        <v>16</v>
      </c>
    </row>
    <row r="430" spans="1:10" x14ac:dyDescent="0.3">
      <c r="A430" t="s">
        <v>223</v>
      </c>
      <c r="B430" t="s">
        <v>51</v>
      </c>
      <c r="C430" t="s">
        <v>35</v>
      </c>
      <c r="D430">
        <v>2522.09</v>
      </c>
      <c r="E430">
        <v>43</v>
      </c>
      <c r="F430" t="s">
        <v>13</v>
      </c>
      <c r="G430" t="s">
        <v>29</v>
      </c>
      <c r="H430" t="s">
        <v>615</v>
      </c>
      <c r="I430">
        <v>0</v>
      </c>
      <c r="J430" t="s">
        <v>16</v>
      </c>
    </row>
    <row r="431" spans="1:10" x14ac:dyDescent="0.3">
      <c r="A431" t="s">
        <v>68</v>
      </c>
      <c r="B431" t="s">
        <v>638</v>
      </c>
      <c r="C431" t="s">
        <v>35</v>
      </c>
      <c r="D431">
        <v>2398.3200000000002</v>
      </c>
      <c r="E431">
        <v>1</v>
      </c>
      <c r="F431" t="s">
        <v>36</v>
      </c>
      <c r="G431" t="s">
        <v>29</v>
      </c>
      <c r="H431" t="s">
        <v>615</v>
      </c>
      <c r="I431">
        <v>0</v>
      </c>
      <c r="J431" t="s">
        <v>16</v>
      </c>
    </row>
    <row r="432" spans="1:10" x14ac:dyDescent="0.3">
      <c r="A432" t="s">
        <v>639</v>
      </c>
      <c r="B432" t="s">
        <v>640</v>
      </c>
      <c r="C432" t="s">
        <v>35</v>
      </c>
      <c r="D432">
        <v>1698.67</v>
      </c>
      <c r="E432">
        <v>41</v>
      </c>
      <c r="F432" t="s">
        <v>36</v>
      </c>
      <c r="G432" t="s">
        <v>25</v>
      </c>
      <c r="H432" t="s">
        <v>615</v>
      </c>
      <c r="I432">
        <v>0</v>
      </c>
      <c r="J432" t="s">
        <v>16</v>
      </c>
    </row>
    <row r="433" spans="1:10" x14ac:dyDescent="0.3">
      <c r="A433" t="s">
        <v>641</v>
      </c>
      <c r="B433" t="s">
        <v>365</v>
      </c>
      <c r="C433" t="s">
        <v>23</v>
      </c>
      <c r="D433">
        <v>4577.3</v>
      </c>
      <c r="E433">
        <v>30</v>
      </c>
      <c r="F433" t="s">
        <v>45</v>
      </c>
      <c r="G433" t="s">
        <v>25</v>
      </c>
      <c r="H433" t="s">
        <v>615</v>
      </c>
      <c r="I433">
        <v>1</v>
      </c>
      <c r="J433" t="s">
        <v>30</v>
      </c>
    </row>
    <row r="434" spans="1:10" x14ac:dyDescent="0.3">
      <c r="A434" t="s">
        <v>642</v>
      </c>
      <c r="B434" t="s">
        <v>643</v>
      </c>
      <c r="C434" t="s">
        <v>12</v>
      </c>
      <c r="D434">
        <v>4214.2</v>
      </c>
      <c r="E434">
        <v>2</v>
      </c>
      <c r="F434" t="s">
        <v>49</v>
      </c>
      <c r="G434" t="s">
        <v>46</v>
      </c>
      <c r="H434" t="s">
        <v>615</v>
      </c>
      <c r="I434">
        <v>0</v>
      </c>
      <c r="J434" t="s">
        <v>16</v>
      </c>
    </row>
    <row r="435" spans="1:10" x14ac:dyDescent="0.3">
      <c r="A435" t="s">
        <v>259</v>
      </c>
      <c r="B435" t="s">
        <v>644</v>
      </c>
      <c r="C435" t="s">
        <v>28</v>
      </c>
      <c r="D435">
        <v>3752.55</v>
      </c>
      <c r="E435">
        <v>15</v>
      </c>
      <c r="F435" t="s">
        <v>13</v>
      </c>
      <c r="G435" t="s">
        <v>58</v>
      </c>
      <c r="H435" t="s">
        <v>615</v>
      </c>
      <c r="I435">
        <v>1</v>
      </c>
      <c r="J435" t="s">
        <v>30</v>
      </c>
    </row>
    <row r="436" spans="1:10" x14ac:dyDescent="0.3">
      <c r="A436" t="s">
        <v>407</v>
      </c>
      <c r="B436" t="s">
        <v>480</v>
      </c>
      <c r="C436" t="s">
        <v>35</v>
      </c>
      <c r="D436">
        <v>855.51</v>
      </c>
      <c r="E436">
        <v>29</v>
      </c>
      <c r="F436" t="s">
        <v>36</v>
      </c>
      <c r="G436" t="s">
        <v>14</v>
      </c>
      <c r="H436" t="s">
        <v>615</v>
      </c>
      <c r="I436">
        <v>1</v>
      </c>
      <c r="J436" t="s">
        <v>30</v>
      </c>
    </row>
    <row r="437" spans="1:10" x14ac:dyDescent="0.3">
      <c r="A437" t="s">
        <v>375</v>
      </c>
      <c r="B437" t="s">
        <v>645</v>
      </c>
      <c r="C437" t="s">
        <v>12</v>
      </c>
      <c r="D437">
        <v>3029.37</v>
      </c>
      <c r="E437">
        <v>34</v>
      </c>
      <c r="F437" t="s">
        <v>49</v>
      </c>
      <c r="G437" t="s">
        <v>20</v>
      </c>
      <c r="H437" t="s">
        <v>615</v>
      </c>
      <c r="I437">
        <v>1</v>
      </c>
      <c r="J437" t="s">
        <v>30</v>
      </c>
    </row>
    <row r="438" spans="1:10" x14ac:dyDescent="0.3">
      <c r="A438" t="s">
        <v>646</v>
      </c>
      <c r="B438" t="s">
        <v>647</v>
      </c>
      <c r="C438" t="s">
        <v>35</v>
      </c>
      <c r="D438">
        <v>3078.65</v>
      </c>
      <c r="E438">
        <v>26</v>
      </c>
      <c r="F438" t="s">
        <v>49</v>
      </c>
      <c r="G438" t="s">
        <v>29</v>
      </c>
      <c r="H438" t="s">
        <v>615</v>
      </c>
      <c r="I438">
        <v>1</v>
      </c>
      <c r="J438" t="s">
        <v>30</v>
      </c>
    </row>
    <row r="439" spans="1:10" x14ac:dyDescent="0.3">
      <c r="A439" t="s">
        <v>226</v>
      </c>
      <c r="B439" t="s">
        <v>577</v>
      </c>
      <c r="C439" t="s">
        <v>12</v>
      </c>
      <c r="D439">
        <v>2182.83</v>
      </c>
      <c r="E439">
        <v>13</v>
      </c>
      <c r="F439" t="s">
        <v>36</v>
      </c>
      <c r="G439" t="s">
        <v>25</v>
      </c>
      <c r="H439" t="s">
        <v>615</v>
      </c>
      <c r="I439">
        <v>0</v>
      </c>
      <c r="J439" t="s">
        <v>16</v>
      </c>
    </row>
    <row r="440" spans="1:10" x14ac:dyDescent="0.3">
      <c r="A440" t="s">
        <v>648</v>
      </c>
      <c r="B440" t="s">
        <v>38</v>
      </c>
      <c r="C440" t="s">
        <v>35</v>
      </c>
      <c r="D440">
        <v>897.67</v>
      </c>
      <c r="E440">
        <v>30</v>
      </c>
      <c r="F440" t="s">
        <v>13</v>
      </c>
      <c r="G440" t="s">
        <v>29</v>
      </c>
      <c r="H440" t="s">
        <v>615</v>
      </c>
      <c r="I440">
        <v>1</v>
      </c>
      <c r="J440" t="s">
        <v>30</v>
      </c>
    </row>
    <row r="441" spans="1:10" x14ac:dyDescent="0.3">
      <c r="A441" t="s">
        <v>337</v>
      </c>
      <c r="B441" t="s">
        <v>649</v>
      </c>
      <c r="C441" t="s">
        <v>35</v>
      </c>
      <c r="D441">
        <v>455.31</v>
      </c>
      <c r="E441">
        <v>15</v>
      </c>
      <c r="F441" t="s">
        <v>49</v>
      </c>
      <c r="G441" t="s">
        <v>29</v>
      </c>
      <c r="H441" t="s">
        <v>615</v>
      </c>
      <c r="I441">
        <v>1</v>
      </c>
      <c r="J441" t="s">
        <v>30</v>
      </c>
    </row>
    <row r="442" spans="1:10" x14ac:dyDescent="0.3">
      <c r="A442" t="s">
        <v>650</v>
      </c>
      <c r="B442" t="s">
        <v>651</v>
      </c>
      <c r="C442" t="s">
        <v>28</v>
      </c>
      <c r="D442">
        <v>4245.6099999999997</v>
      </c>
      <c r="E442">
        <v>22</v>
      </c>
      <c r="F442" t="s">
        <v>49</v>
      </c>
      <c r="G442" t="s">
        <v>25</v>
      </c>
      <c r="H442" t="s">
        <v>615</v>
      </c>
      <c r="I442">
        <v>0</v>
      </c>
      <c r="J442" t="s">
        <v>16</v>
      </c>
    </row>
    <row r="443" spans="1:10" x14ac:dyDescent="0.3">
      <c r="A443" t="s">
        <v>244</v>
      </c>
      <c r="B443" t="s">
        <v>652</v>
      </c>
      <c r="C443" t="s">
        <v>28</v>
      </c>
      <c r="D443">
        <v>174.41</v>
      </c>
      <c r="E443">
        <v>27</v>
      </c>
      <c r="F443" t="s">
        <v>24</v>
      </c>
      <c r="G443" t="s">
        <v>20</v>
      </c>
      <c r="H443" t="s">
        <v>615</v>
      </c>
      <c r="I443">
        <v>1</v>
      </c>
      <c r="J443" t="s">
        <v>30</v>
      </c>
    </row>
    <row r="444" spans="1:10" x14ac:dyDescent="0.3">
      <c r="A444" t="s">
        <v>653</v>
      </c>
      <c r="B444" t="s">
        <v>654</v>
      </c>
      <c r="C444" t="s">
        <v>28</v>
      </c>
      <c r="D444">
        <v>332.18</v>
      </c>
      <c r="E444">
        <v>11</v>
      </c>
      <c r="F444" t="s">
        <v>24</v>
      </c>
      <c r="G444" t="s">
        <v>25</v>
      </c>
      <c r="H444" t="s">
        <v>615</v>
      </c>
      <c r="I444">
        <v>0</v>
      </c>
      <c r="J444" t="s">
        <v>16</v>
      </c>
    </row>
    <row r="445" spans="1:10" x14ac:dyDescent="0.3">
      <c r="A445" t="s">
        <v>655</v>
      </c>
      <c r="B445" t="s">
        <v>656</v>
      </c>
      <c r="C445" t="s">
        <v>12</v>
      </c>
      <c r="D445">
        <v>2925.29</v>
      </c>
      <c r="E445">
        <v>5</v>
      </c>
      <c r="F445" t="s">
        <v>36</v>
      </c>
      <c r="G445" t="s">
        <v>25</v>
      </c>
      <c r="H445" t="s">
        <v>615</v>
      </c>
      <c r="I445">
        <v>0</v>
      </c>
      <c r="J445" t="s">
        <v>16</v>
      </c>
    </row>
    <row r="446" spans="1:10" x14ac:dyDescent="0.3">
      <c r="A446" t="s">
        <v>428</v>
      </c>
      <c r="B446" t="s">
        <v>92</v>
      </c>
      <c r="C446" t="s">
        <v>23</v>
      </c>
      <c r="D446">
        <v>3616.01</v>
      </c>
      <c r="E446">
        <v>48</v>
      </c>
      <c r="F446" t="s">
        <v>19</v>
      </c>
      <c r="G446" t="s">
        <v>20</v>
      </c>
      <c r="H446" t="s">
        <v>615</v>
      </c>
      <c r="I446">
        <v>0</v>
      </c>
      <c r="J446" t="s">
        <v>16</v>
      </c>
    </row>
    <row r="447" spans="1:10" x14ac:dyDescent="0.3">
      <c r="A447" t="s">
        <v>657</v>
      </c>
      <c r="B447" t="s">
        <v>610</v>
      </c>
      <c r="C447" t="s">
        <v>12</v>
      </c>
      <c r="D447">
        <v>4456.2</v>
      </c>
      <c r="E447">
        <v>15</v>
      </c>
      <c r="F447" t="s">
        <v>36</v>
      </c>
      <c r="G447" t="s">
        <v>58</v>
      </c>
      <c r="H447" t="s">
        <v>615</v>
      </c>
      <c r="I447">
        <v>1</v>
      </c>
      <c r="J447" t="s">
        <v>30</v>
      </c>
    </row>
    <row r="448" spans="1:10" x14ac:dyDescent="0.3">
      <c r="A448" t="s">
        <v>439</v>
      </c>
      <c r="B448" t="s">
        <v>658</v>
      </c>
      <c r="C448" t="s">
        <v>12</v>
      </c>
      <c r="D448">
        <v>311.45</v>
      </c>
      <c r="E448">
        <v>12</v>
      </c>
      <c r="F448" t="s">
        <v>24</v>
      </c>
      <c r="G448" t="s">
        <v>20</v>
      </c>
      <c r="H448" t="s">
        <v>615</v>
      </c>
      <c r="I448">
        <v>0</v>
      </c>
      <c r="J448" t="s">
        <v>16</v>
      </c>
    </row>
    <row r="449" spans="1:10" x14ac:dyDescent="0.3">
      <c r="A449" t="s">
        <v>659</v>
      </c>
      <c r="B449" t="s">
        <v>645</v>
      </c>
      <c r="C449" t="s">
        <v>23</v>
      </c>
      <c r="D449">
        <v>959.31</v>
      </c>
      <c r="E449">
        <v>31</v>
      </c>
      <c r="F449" t="s">
        <v>13</v>
      </c>
      <c r="G449" t="s">
        <v>58</v>
      </c>
      <c r="H449" t="s">
        <v>615</v>
      </c>
      <c r="I449">
        <v>0</v>
      </c>
      <c r="J449" t="s">
        <v>16</v>
      </c>
    </row>
    <row r="450" spans="1:10" x14ac:dyDescent="0.3">
      <c r="A450" t="s">
        <v>351</v>
      </c>
      <c r="B450" t="s">
        <v>305</v>
      </c>
      <c r="C450" t="s">
        <v>23</v>
      </c>
      <c r="D450">
        <v>3262.19</v>
      </c>
      <c r="E450">
        <v>17</v>
      </c>
      <c r="F450" t="s">
        <v>45</v>
      </c>
      <c r="G450" t="s">
        <v>25</v>
      </c>
      <c r="H450" t="s">
        <v>615</v>
      </c>
      <c r="I450">
        <v>1</v>
      </c>
      <c r="J450" t="s">
        <v>30</v>
      </c>
    </row>
    <row r="451" spans="1:10" x14ac:dyDescent="0.3">
      <c r="A451" t="s">
        <v>367</v>
      </c>
      <c r="B451" t="s">
        <v>660</v>
      </c>
      <c r="C451" t="s">
        <v>35</v>
      </c>
      <c r="D451">
        <v>511.75</v>
      </c>
      <c r="E451">
        <v>35</v>
      </c>
      <c r="F451" t="s">
        <v>49</v>
      </c>
      <c r="G451" t="s">
        <v>14</v>
      </c>
      <c r="H451" t="s">
        <v>615</v>
      </c>
      <c r="I451">
        <v>1</v>
      </c>
      <c r="J451" t="s">
        <v>30</v>
      </c>
    </row>
    <row r="452" spans="1:10" x14ac:dyDescent="0.3">
      <c r="A452" t="s">
        <v>453</v>
      </c>
      <c r="B452" t="s">
        <v>341</v>
      </c>
      <c r="C452" t="s">
        <v>28</v>
      </c>
      <c r="D452">
        <v>3646.89</v>
      </c>
      <c r="E452">
        <v>5</v>
      </c>
      <c r="F452" t="s">
        <v>36</v>
      </c>
      <c r="G452" t="s">
        <v>14</v>
      </c>
      <c r="H452" t="s">
        <v>615</v>
      </c>
      <c r="I452">
        <v>0</v>
      </c>
      <c r="J452" t="s">
        <v>16</v>
      </c>
    </row>
    <row r="453" spans="1:10" x14ac:dyDescent="0.3">
      <c r="A453" t="s">
        <v>396</v>
      </c>
      <c r="B453" t="s">
        <v>120</v>
      </c>
      <c r="C453" t="s">
        <v>28</v>
      </c>
      <c r="D453">
        <v>2041.42</v>
      </c>
      <c r="E453">
        <v>50</v>
      </c>
      <c r="F453" t="s">
        <v>49</v>
      </c>
      <c r="G453" t="s">
        <v>58</v>
      </c>
      <c r="H453" t="s">
        <v>615</v>
      </c>
      <c r="I453">
        <v>1</v>
      </c>
      <c r="J453" t="s">
        <v>30</v>
      </c>
    </row>
    <row r="454" spans="1:10" x14ac:dyDescent="0.3">
      <c r="A454" t="s">
        <v>375</v>
      </c>
      <c r="B454" t="s">
        <v>308</v>
      </c>
      <c r="C454" t="s">
        <v>28</v>
      </c>
      <c r="D454">
        <v>112.59</v>
      </c>
      <c r="E454">
        <v>33</v>
      </c>
      <c r="F454" t="s">
        <v>24</v>
      </c>
      <c r="G454" t="s">
        <v>25</v>
      </c>
      <c r="H454" t="s">
        <v>615</v>
      </c>
      <c r="I454">
        <v>1</v>
      </c>
      <c r="J454" t="s">
        <v>30</v>
      </c>
    </row>
    <row r="455" spans="1:10" x14ac:dyDescent="0.3">
      <c r="A455" t="s">
        <v>551</v>
      </c>
      <c r="B455" t="s">
        <v>291</v>
      </c>
      <c r="C455" t="s">
        <v>12</v>
      </c>
      <c r="D455">
        <v>4892.7</v>
      </c>
      <c r="E455">
        <v>4</v>
      </c>
      <c r="F455" t="s">
        <v>36</v>
      </c>
      <c r="G455" t="s">
        <v>29</v>
      </c>
      <c r="H455" t="s">
        <v>615</v>
      </c>
      <c r="I455">
        <v>1</v>
      </c>
      <c r="J455" t="s">
        <v>30</v>
      </c>
    </row>
    <row r="456" spans="1:10" x14ac:dyDescent="0.3">
      <c r="A456" t="s">
        <v>361</v>
      </c>
      <c r="B456" t="s">
        <v>564</v>
      </c>
      <c r="C456" t="s">
        <v>23</v>
      </c>
      <c r="D456">
        <v>4587.8100000000004</v>
      </c>
      <c r="E456">
        <v>10</v>
      </c>
      <c r="F456" t="s">
        <v>13</v>
      </c>
      <c r="G456" t="s">
        <v>58</v>
      </c>
      <c r="H456" t="s">
        <v>615</v>
      </c>
      <c r="I456">
        <v>1</v>
      </c>
      <c r="J456" t="s">
        <v>30</v>
      </c>
    </row>
    <row r="457" spans="1:10" x14ac:dyDescent="0.3">
      <c r="A457" t="s">
        <v>191</v>
      </c>
      <c r="B457" t="s">
        <v>345</v>
      </c>
      <c r="C457" t="s">
        <v>35</v>
      </c>
      <c r="D457">
        <v>619.78</v>
      </c>
      <c r="E457">
        <v>26</v>
      </c>
      <c r="F457" t="s">
        <v>24</v>
      </c>
      <c r="G457" t="s">
        <v>58</v>
      </c>
      <c r="H457" t="s">
        <v>615</v>
      </c>
      <c r="I457">
        <v>0</v>
      </c>
      <c r="J457" t="s">
        <v>16</v>
      </c>
    </row>
    <row r="458" spans="1:10" x14ac:dyDescent="0.3">
      <c r="A458" t="s">
        <v>386</v>
      </c>
      <c r="B458" t="s">
        <v>534</v>
      </c>
      <c r="C458" t="s">
        <v>35</v>
      </c>
      <c r="D458">
        <v>646.96</v>
      </c>
      <c r="E458">
        <v>26</v>
      </c>
      <c r="F458" t="s">
        <v>45</v>
      </c>
      <c r="G458" t="s">
        <v>58</v>
      </c>
      <c r="H458" t="s">
        <v>615</v>
      </c>
      <c r="I458">
        <v>1</v>
      </c>
      <c r="J458" t="s">
        <v>30</v>
      </c>
    </row>
    <row r="459" spans="1:10" x14ac:dyDescent="0.3">
      <c r="A459" t="s">
        <v>230</v>
      </c>
      <c r="B459" t="s">
        <v>661</v>
      </c>
      <c r="C459" t="s">
        <v>35</v>
      </c>
      <c r="D459">
        <v>219.34</v>
      </c>
      <c r="E459">
        <v>6</v>
      </c>
      <c r="F459" t="s">
        <v>19</v>
      </c>
      <c r="G459" t="s">
        <v>29</v>
      </c>
      <c r="H459" t="s">
        <v>615</v>
      </c>
      <c r="I459">
        <v>1</v>
      </c>
      <c r="J459" t="s">
        <v>30</v>
      </c>
    </row>
    <row r="460" spans="1:10" x14ac:dyDescent="0.3">
      <c r="A460" t="s">
        <v>662</v>
      </c>
      <c r="B460" t="s">
        <v>663</v>
      </c>
      <c r="C460" t="s">
        <v>12</v>
      </c>
      <c r="D460">
        <v>4486.42</v>
      </c>
      <c r="E460">
        <v>23</v>
      </c>
      <c r="F460" t="s">
        <v>13</v>
      </c>
      <c r="G460" t="s">
        <v>20</v>
      </c>
      <c r="H460" t="s">
        <v>615</v>
      </c>
      <c r="I460">
        <v>0</v>
      </c>
      <c r="J460" t="s">
        <v>16</v>
      </c>
    </row>
    <row r="461" spans="1:10" x14ac:dyDescent="0.3">
      <c r="A461" t="s">
        <v>414</v>
      </c>
      <c r="B461" t="s">
        <v>664</v>
      </c>
      <c r="C461" t="s">
        <v>28</v>
      </c>
      <c r="D461">
        <v>4726.66</v>
      </c>
      <c r="E461">
        <v>11</v>
      </c>
      <c r="F461" t="s">
        <v>19</v>
      </c>
      <c r="G461" t="s">
        <v>29</v>
      </c>
      <c r="H461" t="s">
        <v>615</v>
      </c>
      <c r="I461">
        <v>1</v>
      </c>
      <c r="J461" t="s">
        <v>30</v>
      </c>
    </row>
    <row r="462" spans="1:10" x14ac:dyDescent="0.3">
      <c r="A462" t="s">
        <v>159</v>
      </c>
      <c r="B462" t="s">
        <v>647</v>
      </c>
      <c r="C462" t="s">
        <v>23</v>
      </c>
      <c r="D462">
        <v>1670.26</v>
      </c>
      <c r="E462">
        <v>26</v>
      </c>
      <c r="F462" t="s">
        <v>49</v>
      </c>
      <c r="G462" t="s">
        <v>14</v>
      </c>
      <c r="H462" t="s">
        <v>615</v>
      </c>
      <c r="I462">
        <v>0</v>
      </c>
      <c r="J462" t="s">
        <v>16</v>
      </c>
    </row>
    <row r="463" spans="1:10" x14ac:dyDescent="0.3">
      <c r="A463" t="s">
        <v>510</v>
      </c>
      <c r="B463" t="s">
        <v>543</v>
      </c>
      <c r="C463" t="s">
        <v>35</v>
      </c>
      <c r="D463">
        <v>1601.38</v>
      </c>
      <c r="E463">
        <v>6</v>
      </c>
      <c r="F463" t="s">
        <v>45</v>
      </c>
      <c r="G463" t="s">
        <v>20</v>
      </c>
      <c r="H463" t="s">
        <v>615</v>
      </c>
      <c r="I463">
        <v>1</v>
      </c>
      <c r="J463" t="s">
        <v>30</v>
      </c>
    </row>
    <row r="464" spans="1:10" x14ac:dyDescent="0.3">
      <c r="A464" t="s">
        <v>665</v>
      </c>
      <c r="B464" t="s">
        <v>69</v>
      </c>
      <c r="C464" t="s">
        <v>35</v>
      </c>
      <c r="D464">
        <v>155.58000000000001</v>
      </c>
      <c r="E464">
        <v>20</v>
      </c>
      <c r="F464" t="s">
        <v>49</v>
      </c>
      <c r="G464" t="s">
        <v>14</v>
      </c>
      <c r="H464" t="s">
        <v>615</v>
      </c>
      <c r="I464">
        <v>0</v>
      </c>
      <c r="J464" t="s">
        <v>16</v>
      </c>
    </row>
    <row r="465" spans="1:10" x14ac:dyDescent="0.3">
      <c r="A465" t="s">
        <v>666</v>
      </c>
      <c r="B465" t="s">
        <v>667</v>
      </c>
      <c r="C465" t="s">
        <v>35</v>
      </c>
      <c r="D465">
        <v>4340.29</v>
      </c>
      <c r="E465">
        <v>50</v>
      </c>
      <c r="F465" t="s">
        <v>36</v>
      </c>
      <c r="G465" t="s">
        <v>25</v>
      </c>
      <c r="H465" t="s">
        <v>615</v>
      </c>
      <c r="I465">
        <v>1</v>
      </c>
      <c r="J465" t="s">
        <v>30</v>
      </c>
    </row>
    <row r="466" spans="1:10" x14ac:dyDescent="0.3">
      <c r="A466" t="s">
        <v>306</v>
      </c>
      <c r="B466" t="s">
        <v>270</v>
      </c>
      <c r="C466" t="s">
        <v>35</v>
      </c>
      <c r="D466">
        <v>674.95</v>
      </c>
      <c r="E466">
        <v>34</v>
      </c>
      <c r="F466" t="s">
        <v>45</v>
      </c>
      <c r="G466" t="s">
        <v>14</v>
      </c>
      <c r="H466" t="s">
        <v>615</v>
      </c>
      <c r="I466">
        <v>1</v>
      </c>
      <c r="J466" t="s">
        <v>30</v>
      </c>
    </row>
    <row r="467" spans="1:10" x14ac:dyDescent="0.3">
      <c r="A467" t="s">
        <v>668</v>
      </c>
      <c r="B467" t="s">
        <v>397</v>
      </c>
      <c r="C467" t="s">
        <v>35</v>
      </c>
      <c r="D467">
        <v>1622.39</v>
      </c>
      <c r="E467">
        <v>15</v>
      </c>
      <c r="F467" t="s">
        <v>13</v>
      </c>
      <c r="G467" t="s">
        <v>20</v>
      </c>
      <c r="H467" t="s">
        <v>615</v>
      </c>
      <c r="I467">
        <v>0</v>
      </c>
      <c r="J467" t="s">
        <v>16</v>
      </c>
    </row>
    <row r="468" spans="1:10" x14ac:dyDescent="0.3">
      <c r="A468" t="s">
        <v>604</v>
      </c>
      <c r="B468" t="s">
        <v>552</v>
      </c>
      <c r="C468" t="s">
        <v>12</v>
      </c>
      <c r="D468">
        <v>3912.01</v>
      </c>
      <c r="E468">
        <v>19</v>
      </c>
      <c r="F468" t="s">
        <v>45</v>
      </c>
      <c r="G468" t="s">
        <v>20</v>
      </c>
      <c r="H468" t="s">
        <v>615</v>
      </c>
      <c r="I468">
        <v>1</v>
      </c>
      <c r="J468" t="s">
        <v>30</v>
      </c>
    </row>
    <row r="469" spans="1:10" x14ac:dyDescent="0.3">
      <c r="A469" t="s">
        <v>223</v>
      </c>
      <c r="B469" t="s">
        <v>363</v>
      </c>
      <c r="C469" t="s">
        <v>28</v>
      </c>
      <c r="D469">
        <v>2285.5</v>
      </c>
      <c r="E469">
        <v>36</v>
      </c>
      <c r="F469" t="s">
        <v>24</v>
      </c>
      <c r="G469" t="s">
        <v>58</v>
      </c>
      <c r="H469" t="s">
        <v>615</v>
      </c>
      <c r="I469">
        <v>1</v>
      </c>
      <c r="J469" t="s">
        <v>30</v>
      </c>
    </row>
    <row r="470" spans="1:10" x14ac:dyDescent="0.3">
      <c r="A470" t="s">
        <v>391</v>
      </c>
      <c r="B470" t="s">
        <v>177</v>
      </c>
      <c r="C470" t="s">
        <v>28</v>
      </c>
      <c r="D470">
        <v>3648.88</v>
      </c>
      <c r="E470">
        <v>8</v>
      </c>
      <c r="F470" t="s">
        <v>19</v>
      </c>
      <c r="G470" t="s">
        <v>29</v>
      </c>
      <c r="H470" t="s">
        <v>615</v>
      </c>
      <c r="I470">
        <v>1</v>
      </c>
      <c r="J470" t="s">
        <v>30</v>
      </c>
    </row>
    <row r="471" spans="1:10" x14ac:dyDescent="0.3">
      <c r="A471" t="s">
        <v>669</v>
      </c>
      <c r="B471" t="s">
        <v>670</v>
      </c>
      <c r="C471" t="s">
        <v>23</v>
      </c>
      <c r="D471">
        <v>1793.12</v>
      </c>
      <c r="E471">
        <v>27</v>
      </c>
      <c r="F471" t="s">
        <v>36</v>
      </c>
      <c r="G471" t="s">
        <v>14</v>
      </c>
      <c r="H471" t="s">
        <v>615</v>
      </c>
      <c r="I471">
        <v>0</v>
      </c>
      <c r="J471" t="s">
        <v>16</v>
      </c>
    </row>
    <row r="472" spans="1:10" x14ac:dyDescent="0.3">
      <c r="A472" t="s">
        <v>161</v>
      </c>
      <c r="B472" t="s">
        <v>671</v>
      </c>
      <c r="C472" t="s">
        <v>12</v>
      </c>
      <c r="D472">
        <v>3722.33</v>
      </c>
      <c r="E472">
        <v>14</v>
      </c>
      <c r="F472" t="s">
        <v>36</v>
      </c>
      <c r="G472" t="s">
        <v>29</v>
      </c>
      <c r="H472" t="s">
        <v>615</v>
      </c>
      <c r="I472">
        <v>0</v>
      </c>
      <c r="J472" t="s">
        <v>16</v>
      </c>
    </row>
    <row r="473" spans="1:10" x14ac:dyDescent="0.3">
      <c r="A473" t="s">
        <v>672</v>
      </c>
      <c r="B473" t="s">
        <v>673</v>
      </c>
      <c r="C473" t="s">
        <v>28</v>
      </c>
      <c r="D473">
        <v>1620.14</v>
      </c>
      <c r="E473">
        <v>40</v>
      </c>
      <c r="F473" t="s">
        <v>24</v>
      </c>
      <c r="G473" t="s">
        <v>46</v>
      </c>
      <c r="H473" t="s">
        <v>615</v>
      </c>
      <c r="I473">
        <v>0</v>
      </c>
      <c r="J473" t="s">
        <v>16</v>
      </c>
    </row>
    <row r="474" spans="1:10" x14ac:dyDescent="0.3">
      <c r="A474" t="s">
        <v>674</v>
      </c>
      <c r="B474" t="s">
        <v>500</v>
      </c>
      <c r="C474" t="s">
        <v>23</v>
      </c>
      <c r="D474">
        <v>4330.32</v>
      </c>
      <c r="E474">
        <v>44</v>
      </c>
      <c r="F474" t="s">
        <v>24</v>
      </c>
      <c r="G474" t="s">
        <v>20</v>
      </c>
      <c r="H474" t="s">
        <v>615</v>
      </c>
      <c r="I474">
        <v>0</v>
      </c>
      <c r="J474" t="s">
        <v>16</v>
      </c>
    </row>
    <row r="475" spans="1:10" x14ac:dyDescent="0.3">
      <c r="A475" t="s">
        <v>675</v>
      </c>
      <c r="B475" t="s">
        <v>27</v>
      </c>
      <c r="C475" t="s">
        <v>12</v>
      </c>
      <c r="D475">
        <v>2813.12</v>
      </c>
      <c r="E475">
        <v>1</v>
      </c>
      <c r="F475" t="s">
        <v>45</v>
      </c>
      <c r="G475" t="s">
        <v>58</v>
      </c>
      <c r="H475" t="s">
        <v>615</v>
      </c>
      <c r="I475">
        <v>1</v>
      </c>
      <c r="J475" t="s">
        <v>30</v>
      </c>
    </row>
    <row r="476" spans="1:10" x14ac:dyDescent="0.3">
      <c r="A476" t="s">
        <v>275</v>
      </c>
      <c r="B476" t="s">
        <v>676</v>
      </c>
      <c r="C476" t="s">
        <v>12</v>
      </c>
      <c r="D476">
        <v>2449.41</v>
      </c>
      <c r="E476">
        <v>46</v>
      </c>
      <c r="F476" t="s">
        <v>45</v>
      </c>
      <c r="G476" t="s">
        <v>29</v>
      </c>
      <c r="H476" t="s">
        <v>615</v>
      </c>
      <c r="I476">
        <v>1</v>
      </c>
      <c r="J476" t="s">
        <v>30</v>
      </c>
    </row>
    <row r="477" spans="1:10" x14ac:dyDescent="0.3">
      <c r="A477" t="s">
        <v>677</v>
      </c>
      <c r="B477" t="s">
        <v>566</v>
      </c>
      <c r="C477" t="s">
        <v>35</v>
      </c>
      <c r="D477">
        <v>3656.94</v>
      </c>
      <c r="E477">
        <v>37</v>
      </c>
      <c r="F477" t="s">
        <v>45</v>
      </c>
      <c r="G477" t="s">
        <v>29</v>
      </c>
      <c r="H477" t="s">
        <v>615</v>
      </c>
      <c r="I477">
        <v>0</v>
      </c>
      <c r="J477" t="s">
        <v>16</v>
      </c>
    </row>
    <row r="478" spans="1:10" x14ac:dyDescent="0.3">
      <c r="A478" t="s">
        <v>499</v>
      </c>
      <c r="B478" t="s">
        <v>480</v>
      </c>
      <c r="C478" t="s">
        <v>28</v>
      </c>
      <c r="D478">
        <v>2849.5</v>
      </c>
      <c r="E478">
        <v>29</v>
      </c>
      <c r="F478" t="s">
        <v>19</v>
      </c>
      <c r="G478" t="s">
        <v>20</v>
      </c>
      <c r="H478" t="s">
        <v>615</v>
      </c>
      <c r="I478">
        <v>1</v>
      </c>
      <c r="J478" t="s">
        <v>30</v>
      </c>
    </row>
    <row r="479" spans="1:10" x14ac:dyDescent="0.3">
      <c r="A479" t="s">
        <v>678</v>
      </c>
      <c r="B479" t="s">
        <v>679</v>
      </c>
      <c r="C479" t="s">
        <v>12</v>
      </c>
      <c r="D479">
        <v>4051.39</v>
      </c>
      <c r="E479">
        <v>34</v>
      </c>
      <c r="F479" t="s">
        <v>13</v>
      </c>
      <c r="G479" t="s">
        <v>58</v>
      </c>
      <c r="H479" t="s">
        <v>615</v>
      </c>
      <c r="I479">
        <v>1</v>
      </c>
      <c r="J479" t="s">
        <v>30</v>
      </c>
    </row>
    <row r="480" spans="1:10" x14ac:dyDescent="0.3">
      <c r="A480" t="s">
        <v>680</v>
      </c>
      <c r="B480" t="s">
        <v>483</v>
      </c>
      <c r="C480" t="s">
        <v>23</v>
      </c>
      <c r="D480">
        <v>948.69</v>
      </c>
      <c r="E480">
        <v>23</v>
      </c>
      <c r="F480" t="s">
        <v>19</v>
      </c>
      <c r="G480" t="s">
        <v>29</v>
      </c>
      <c r="H480" t="s">
        <v>615</v>
      </c>
      <c r="I480">
        <v>1</v>
      </c>
      <c r="J480" t="s">
        <v>30</v>
      </c>
    </row>
    <row r="481" spans="1:10" x14ac:dyDescent="0.3">
      <c r="A481" t="s">
        <v>208</v>
      </c>
      <c r="B481" t="s">
        <v>681</v>
      </c>
      <c r="C481" t="s">
        <v>23</v>
      </c>
      <c r="D481">
        <v>1358.95</v>
      </c>
      <c r="E481">
        <v>43</v>
      </c>
      <c r="F481" t="s">
        <v>49</v>
      </c>
      <c r="G481" t="s">
        <v>58</v>
      </c>
      <c r="H481" t="s">
        <v>615</v>
      </c>
      <c r="I481">
        <v>0</v>
      </c>
      <c r="J481" t="s">
        <v>16</v>
      </c>
    </row>
    <row r="482" spans="1:10" x14ac:dyDescent="0.3">
      <c r="A482" t="s">
        <v>439</v>
      </c>
      <c r="B482" t="s">
        <v>682</v>
      </c>
      <c r="C482" t="s">
        <v>35</v>
      </c>
      <c r="D482">
        <v>3350.28</v>
      </c>
      <c r="E482">
        <v>34</v>
      </c>
      <c r="F482" t="s">
        <v>49</v>
      </c>
      <c r="G482" t="s">
        <v>25</v>
      </c>
      <c r="H482" t="s">
        <v>615</v>
      </c>
      <c r="I482">
        <v>1</v>
      </c>
      <c r="J482" t="s">
        <v>30</v>
      </c>
    </row>
    <row r="483" spans="1:10" x14ac:dyDescent="0.3">
      <c r="A483" t="s">
        <v>683</v>
      </c>
      <c r="B483" t="s">
        <v>684</v>
      </c>
      <c r="C483" t="s">
        <v>35</v>
      </c>
      <c r="D483">
        <v>1834.38</v>
      </c>
      <c r="E483">
        <v>20</v>
      </c>
      <c r="F483" t="s">
        <v>45</v>
      </c>
      <c r="G483" t="s">
        <v>20</v>
      </c>
      <c r="H483" t="s">
        <v>615</v>
      </c>
      <c r="I483">
        <v>1</v>
      </c>
      <c r="J483" t="s">
        <v>30</v>
      </c>
    </row>
    <row r="484" spans="1:10" x14ac:dyDescent="0.3">
      <c r="A484" t="s">
        <v>685</v>
      </c>
      <c r="B484" t="s">
        <v>261</v>
      </c>
      <c r="C484" t="s">
        <v>23</v>
      </c>
      <c r="D484">
        <v>4121.29</v>
      </c>
      <c r="E484">
        <v>44</v>
      </c>
      <c r="F484" t="s">
        <v>13</v>
      </c>
      <c r="G484" t="s">
        <v>25</v>
      </c>
      <c r="H484" t="s">
        <v>615</v>
      </c>
      <c r="I484">
        <v>0</v>
      </c>
      <c r="J484" t="s">
        <v>16</v>
      </c>
    </row>
    <row r="485" spans="1:10" x14ac:dyDescent="0.3">
      <c r="A485" t="s">
        <v>91</v>
      </c>
      <c r="B485" t="s">
        <v>368</v>
      </c>
      <c r="C485" t="s">
        <v>23</v>
      </c>
      <c r="D485">
        <v>696.99</v>
      </c>
      <c r="E485">
        <v>47</v>
      </c>
      <c r="F485" t="s">
        <v>49</v>
      </c>
      <c r="G485" t="s">
        <v>46</v>
      </c>
      <c r="H485" t="s">
        <v>615</v>
      </c>
      <c r="I485">
        <v>1</v>
      </c>
      <c r="J485" t="s">
        <v>30</v>
      </c>
    </row>
    <row r="486" spans="1:10" x14ac:dyDescent="0.3">
      <c r="A486" t="s">
        <v>686</v>
      </c>
      <c r="B486" t="s">
        <v>687</v>
      </c>
      <c r="C486" t="s">
        <v>23</v>
      </c>
      <c r="D486">
        <v>303.10000000000002</v>
      </c>
      <c r="E486">
        <v>33</v>
      </c>
      <c r="F486" t="s">
        <v>45</v>
      </c>
      <c r="G486" t="s">
        <v>20</v>
      </c>
      <c r="H486" t="s">
        <v>615</v>
      </c>
      <c r="I486">
        <v>1</v>
      </c>
      <c r="J486" t="s">
        <v>30</v>
      </c>
    </row>
    <row r="487" spans="1:10" x14ac:dyDescent="0.3">
      <c r="A487" t="s">
        <v>685</v>
      </c>
      <c r="B487" t="s">
        <v>448</v>
      </c>
      <c r="C487" t="s">
        <v>35</v>
      </c>
      <c r="D487">
        <v>4743.24</v>
      </c>
      <c r="E487">
        <v>47</v>
      </c>
      <c r="F487" t="s">
        <v>19</v>
      </c>
      <c r="G487" t="s">
        <v>46</v>
      </c>
      <c r="H487" t="s">
        <v>615</v>
      </c>
      <c r="I487">
        <v>1</v>
      </c>
      <c r="J487" t="s">
        <v>30</v>
      </c>
    </row>
    <row r="488" spans="1:10" x14ac:dyDescent="0.3">
      <c r="A488" t="s">
        <v>688</v>
      </c>
      <c r="B488" t="s">
        <v>689</v>
      </c>
      <c r="C488" t="s">
        <v>23</v>
      </c>
      <c r="D488">
        <v>4573.91</v>
      </c>
      <c r="E488">
        <v>2</v>
      </c>
      <c r="F488" t="s">
        <v>45</v>
      </c>
      <c r="G488" t="s">
        <v>20</v>
      </c>
      <c r="H488" t="s">
        <v>615</v>
      </c>
      <c r="I488">
        <v>1</v>
      </c>
      <c r="J488" t="s">
        <v>30</v>
      </c>
    </row>
    <row r="489" spans="1:10" x14ac:dyDescent="0.3">
      <c r="A489" t="s">
        <v>690</v>
      </c>
      <c r="B489" t="s">
        <v>569</v>
      </c>
      <c r="C489" t="s">
        <v>12</v>
      </c>
      <c r="D489">
        <v>1428.74</v>
      </c>
      <c r="E489">
        <v>11</v>
      </c>
      <c r="F489" t="s">
        <v>19</v>
      </c>
      <c r="G489" t="s">
        <v>14</v>
      </c>
      <c r="H489" t="s">
        <v>615</v>
      </c>
      <c r="I489">
        <v>1</v>
      </c>
      <c r="J489" t="s">
        <v>30</v>
      </c>
    </row>
    <row r="490" spans="1:10" x14ac:dyDescent="0.3">
      <c r="A490" t="s">
        <v>691</v>
      </c>
      <c r="B490" t="s">
        <v>692</v>
      </c>
      <c r="C490" t="s">
        <v>23</v>
      </c>
      <c r="D490">
        <v>3697.55</v>
      </c>
      <c r="E490">
        <v>30</v>
      </c>
      <c r="F490" t="s">
        <v>45</v>
      </c>
      <c r="G490" t="s">
        <v>14</v>
      </c>
      <c r="H490" t="s">
        <v>615</v>
      </c>
      <c r="I490">
        <v>0</v>
      </c>
      <c r="J490" t="s">
        <v>16</v>
      </c>
    </row>
    <row r="491" spans="1:10" x14ac:dyDescent="0.3">
      <c r="A491" t="s">
        <v>693</v>
      </c>
      <c r="B491" t="s">
        <v>404</v>
      </c>
      <c r="C491" t="s">
        <v>12</v>
      </c>
      <c r="D491">
        <v>4925.4799999999996</v>
      </c>
      <c r="E491">
        <v>17</v>
      </c>
      <c r="F491" t="s">
        <v>49</v>
      </c>
      <c r="G491" t="s">
        <v>29</v>
      </c>
      <c r="H491" t="s">
        <v>615</v>
      </c>
      <c r="I491">
        <v>1</v>
      </c>
      <c r="J491" t="s">
        <v>30</v>
      </c>
    </row>
    <row r="492" spans="1:10" x14ac:dyDescent="0.3">
      <c r="A492" t="s">
        <v>694</v>
      </c>
      <c r="B492" t="s">
        <v>695</v>
      </c>
      <c r="C492" t="s">
        <v>23</v>
      </c>
      <c r="D492">
        <v>2688.84</v>
      </c>
      <c r="E492">
        <v>20</v>
      </c>
      <c r="F492" t="s">
        <v>49</v>
      </c>
      <c r="G492" t="s">
        <v>29</v>
      </c>
      <c r="H492" t="s">
        <v>615</v>
      </c>
      <c r="I492">
        <v>1</v>
      </c>
      <c r="J492" t="s">
        <v>30</v>
      </c>
    </row>
    <row r="493" spans="1:10" x14ac:dyDescent="0.3">
      <c r="A493" t="s">
        <v>180</v>
      </c>
      <c r="B493" t="s">
        <v>696</v>
      </c>
      <c r="C493" t="s">
        <v>23</v>
      </c>
      <c r="D493">
        <v>2977.15</v>
      </c>
      <c r="E493">
        <v>25</v>
      </c>
      <c r="F493" t="s">
        <v>24</v>
      </c>
      <c r="G493" t="s">
        <v>20</v>
      </c>
      <c r="H493" t="s">
        <v>615</v>
      </c>
      <c r="I493">
        <v>0</v>
      </c>
      <c r="J493" t="s">
        <v>16</v>
      </c>
    </row>
    <row r="494" spans="1:10" x14ac:dyDescent="0.3">
      <c r="A494" t="s">
        <v>414</v>
      </c>
      <c r="B494" t="s">
        <v>697</v>
      </c>
      <c r="C494" t="s">
        <v>35</v>
      </c>
      <c r="D494">
        <v>4138.7</v>
      </c>
      <c r="E494">
        <v>2</v>
      </c>
      <c r="F494" t="s">
        <v>24</v>
      </c>
      <c r="G494" t="s">
        <v>20</v>
      </c>
      <c r="H494" t="s">
        <v>615</v>
      </c>
      <c r="I494">
        <v>1</v>
      </c>
      <c r="J494" t="s">
        <v>30</v>
      </c>
    </row>
    <row r="495" spans="1:10" x14ac:dyDescent="0.3">
      <c r="A495" t="s">
        <v>698</v>
      </c>
      <c r="B495" t="s">
        <v>114</v>
      </c>
      <c r="C495" t="s">
        <v>12</v>
      </c>
      <c r="D495">
        <v>4731.88</v>
      </c>
      <c r="E495">
        <v>31</v>
      </c>
      <c r="F495" t="s">
        <v>45</v>
      </c>
      <c r="G495" t="s">
        <v>14</v>
      </c>
      <c r="H495" t="s">
        <v>615</v>
      </c>
      <c r="I495">
        <v>0</v>
      </c>
      <c r="J495" t="s">
        <v>16</v>
      </c>
    </row>
    <row r="496" spans="1:10" x14ac:dyDescent="0.3">
      <c r="A496" t="s">
        <v>699</v>
      </c>
      <c r="B496" t="s">
        <v>530</v>
      </c>
      <c r="C496" t="s">
        <v>28</v>
      </c>
      <c r="D496">
        <v>29.97</v>
      </c>
      <c r="E496">
        <v>15</v>
      </c>
      <c r="F496" t="s">
        <v>45</v>
      </c>
      <c r="G496" t="s">
        <v>25</v>
      </c>
      <c r="H496" t="s">
        <v>615</v>
      </c>
      <c r="I496">
        <v>1</v>
      </c>
      <c r="J496" t="s">
        <v>30</v>
      </c>
    </row>
    <row r="497" spans="1:10" x14ac:dyDescent="0.3">
      <c r="A497" t="s">
        <v>247</v>
      </c>
      <c r="B497" t="s">
        <v>496</v>
      </c>
      <c r="C497" t="s">
        <v>12</v>
      </c>
      <c r="D497">
        <v>1092.8800000000001</v>
      </c>
      <c r="E497">
        <v>38</v>
      </c>
      <c r="F497" t="s">
        <v>24</v>
      </c>
      <c r="G497" t="s">
        <v>20</v>
      </c>
      <c r="H497" t="s">
        <v>615</v>
      </c>
      <c r="I497">
        <v>0</v>
      </c>
      <c r="J497" t="s">
        <v>16</v>
      </c>
    </row>
    <row r="498" spans="1:10" x14ac:dyDescent="0.3">
      <c r="A498" t="s">
        <v>434</v>
      </c>
      <c r="B498" t="s">
        <v>700</v>
      </c>
      <c r="C498" t="s">
        <v>35</v>
      </c>
      <c r="D498">
        <v>3192.39</v>
      </c>
      <c r="E498">
        <v>25</v>
      </c>
      <c r="F498" t="s">
        <v>45</v>
      </c>
      <c r="G498" t="s">
        <v>14</v>
      </c>
      <c r="H498" t="s">
        <v>615</v>
      </c>
      <c r="I498">
        <v>0</v>
      </c>
      <c r="J498" t="s">
        <v>16</v>
      </c>
    </row>
    <row r="499" spans="1:10" x14ac:dyDescent="0.3">
      <c r="A499" t="s">
        <v>674</v>
      </c>
      <c r="B499" t="s">
        <v>701</v>
      </c>
      <c r="C499" t="s">
        <v>23</v>
      </c>
      <c r="D499">
        <v>1481.41</v>
      </c>
      <c r="E499">
        <v>29</v>
      </c>
      <c r="F499" t="s">
        <v>49</v>
      </c>
      <c r="G499" t="s">
        <v>25</v>
      </c>
      <c r="H499" t="s">
        <v>615</v>
      </c>
      <c r="I499">
        <v>0</v>
      </c>
      <c r="J499" t="s">
        <v>16</v>
      </c>
    </row>
    <row r="500" spans="1:10" x14ac:dyDescent="0.3">
      <c r="A500" t="s">
        <v>702</v>
      </c>
      <c r="B500" t="s">
        <v>703</v>
      </c>
      <c r="C500" t="s">
        <v>23</v>
      </c>
      <c r="D500">
        <v>657</v>
      </c>
      <c r="E500">
        <v>38</v>
      </c>
      <c r="F500" t="s">
        <v>13</v>
      </c>
      <c r="G500" t="s">
        <v>14</v>
      </c>
      <c r="H500" t="s">
        <v>615</v>
      </c>
      <c r="I500">
        <v>1</v>
      </c>
      <c r="J500" t="s">
        <v>30</v>
      </c>
    </row>
    <row r="501" spans="1:10" x14ac:dyDescent="0.3">
      <c r="A501" t="s">
        <v>66</v>
      </c>
      <c r="B501" t="s">
        <v>265</v>
      </c>
      <c r="C501" t="s">
        <v>35</v>
      </c>
      <c r="D501">
        <v>4469.13</v>
      </c>
      <c r="E501">
        <v>36</v>
      </c>
      <c r="F501" t="s">
        <v>36</v>
      </c>
      <c r="G501" t="s">
        <v>14</v>
      </c>
      <c r="H501" t="s">
        <v>615</v>
      </c>
      <c r="I501">
        <v>0</v>
      </c>
      <c r="J501" t="s">
        <v>16</v>
      </c>
    </row>
    <row r="502" spans="1:10" x14ac:dyDescent="0.3">
      <c r="A502" t="s">
        <v>666</v>
      </c>
      <c r="B502" t="s">
        <v>140</v>
      </c>
      <c r="C502" t="s">
        <v>23</v>
      </c>
      <c r="D502">
        <v>2634.74</v>
      </c>
      <c r="E502">
        <v>6</v>
      </c>
      <c r="F502" t="s">
        <v>45</v>
      </c>
      <c r="G502" t="s">
        <v>14</v>
      </c>
      <c r="H502" t="s">
        <v>615</v>
      </c>
      <c r="I502">
        <v>1</v>
      </c>
      <c r="J502" t="s">
        <v>30</v>
      </c>
    </row>
    <row r="503" spans="1:10" x14ac:dyDescent="0.3">
      <c r="A503" t="s">
        <v>375</v>
      </c>
      <c r="B503" t="s">
        <v>389</v>
      </c>
      <c r="C503" t="s">
        <v>23</v>
      </c>
      <c r="D503">
        <v>1625.1</v>
      </c>
      <c r="E503">
        <v>5</v>
      </c>
      <c r="F503" t="s">
        <v>24</v>
      </c>
      <c r="G503" t="s">
        <v>58</v>
      </c>
      <c r="H503" t="s">
        <v>615</v>
      </c>
      <c r="I503">
        <v>0</v>
      </c>
      <c r="J503" t="s">
        <v>16</v>
      </c>
    </row>
    <row r="504" spans="1:10" x14ac:dyDescent="0.3">
      <c r="A504" t="s">
        <v>704</v>
      </c>
      <c r="B504" t="s">
        <v>627</v>
      </c>
      <c r="C504" t="s">
        <v>28</v>
      </c>
      <c r="D504">
        <v>22.97</v>
      </c>
      <c r="E504">
        <v>31</v>
      </c>
      <c r="F504" t="s">
        <v>13</v>
      </c>
      <c r="G504" t="s">
        <v>58</v>
      </c>
      <c r="H504" t="s">
        <v>615</v>
      </c>
      <c r="I504">
        <v>1</v>
      </c>
      <c r="J504" t="s">
        <v>30</v>
      </c>
    </row>
    <row r="505" spans="1:10" x14ac:dyDescent="0.3">
      <c r="A505" t="s">
        <v>705</v>
      </c>
      <c r="B505" t="s">
        <v>706</v>
      </c>
      <c r="C505" t="s">
        <v>23</v>
      </c>
      <c r="D505">
        <v>4895.18</v>
      </c>
      <c r="E505">
        <v>36</v>
      </c>
      <c r="F505" t="s">
        <v>19</v>
      </c>
      <c r="G505" t="s">
        <v>29</v>
      </c>
      <c r="H505" t="s">
        <v>615</v>
      </c>
      <c r="I505">
        <v>1</v>
      </c>
      <c r="J505" t="s">
        <v>30</v>
      </c>
    </row>
    <row r="506" spans="1:10" x14ac:dyDescent="0.3">
      <c r="A506" t="s">
        <v>707</v>
      </c>
      <c r="B506" t="s">
        <v>370</v>
      </c>
      <c r="C506" t="s">
        <v>23</v>
      </c>
      <c r="D506">
        <v>1534.54</v>
      </c>
      <c r="E506">
        <v>28</v>
      </c>
      <c r="F506" t="s">
        <v>36</v>
      </c>
      <c r="G506" t="s">
        <v>20</v>
      </c>
      <c r="H506" t="s">
        <v>615</v>
      </c>
      <c r="I506">
        <v>0</v>
      </c>
      <c r="J506" t="s">
        <v>16</v>
      </c>
    </row>
    <row r="507" spans="1:10" x14ac:dyDescent="0.3">
      <c r="A507" t="s">
        <v>708</v>
      </c>
      <c r="B507" t="s">
        <v>366</v>
      </c>
      <c r="C507" t="s">
        <v>23</v>
      </c>
      <c r="D507">
        <v>114.66</v>
      </c>
      <c r="E507">
        <v>42</v>
      </c>
      <c r="F507" t="s">
        <v>49</v>
      </c>
      <c r="G507" t="s">
        <v>58</v>
      </c>
      <c r="H507" t="s">
        <v>615</v>
      </c>
      <c r="I507">
        <v>0</v>
      </c>
      <c r="J507" t="s">
        <v>16</v>
      </c>
    </row>
    <row r="508" spans="1:10" x14ac:dyDescent="0.3">
      <c r="A508" t="s">
        <v>694</v>
      </c>
      <c r="B508" t="s">
        <v>709</v>
      </c>
      <c r="C508" t="s">
        <v>12</v>
      </c>
      <c r="D508">
        <v>736.16</v>
      </c>
      <c r="E508">
        <v>12</v>
      </c>
      <c r="F508" t="s">
        <v>45</v>
      </c>
      <c r="G508" t="s">
        <v>20</v>
      </c>
      <c r="H508" t="s">
        <v>615</v>
      </c>
      <c r="I508">
        <v>0</v>
      </c>
      <c r="J508" t="s">
        <v>16</v>
      </c>
    </row>
    <row r="509" spans="1:10" x14ac:dyDescent="0.3">
      <c r="A509" t="s">
        <v>72</v>
      </c>
      <c r="B509" t="s">
        <v>577</v>
      </c>
      <c r="C509" t="s">
        <v>23</v>
      </c>
      <c r="D509">
        <v>4620.6099999999997</v>
      </c>
      <c r="E509">
        <v>38</v>
      </c>
      <c r="F509" t="s">
        <v>36</v>
      </c>
      <c r="G509" t="s">
        <v>25</v>
      </c>
      <c r="H509" t="s">
        <v>615</v>
      </c>
      <c r="I509">
        <v>1</v>
      </c>
      <c r="J509" t="s">
        <v>30</v>
      </c>
    </row>
    <row r="510" spans="1:10" x14ac:dyDescent="0.3">
      <c r="A510" t="s">
        <v>710</v>
      </c>
      <c r="B510" t="s">
        <v>711</v>
      </c>
      <c r="C510" t="s">
        <v>23</v>
      </c>
      <c r="D510">
        <v>2608.9299999999998</v>
      </c>
      <c r="E510">
        <v>47</v>
      </c>
      <c r="F510" t="s">
        <v>45</v>
      </c>
      <c r="G510" t="s">
        <v>20</v>
      </c>
      <c r="H510" t="s">
        <v>615</v>
      </c>
      <c r="I510">
        <v>1</v>
      </c>
      <c r="J510" t="s">
        <v>30</v>
      </c>
    </row>
    <row r="511" spans="1:10" x14ac:dyDescent="0.3">
      <c r="A511" t="s">
        <v>712</v>
      </c>
      <c r="B511" t="s">
        <v>697</v>
      </c>
      <c r="C511" t="s">
        <v>35</v>
      </c>
      <c r="D511">
        <v>4040.05</v>
      </c>
      <c r="E511">
        <v>6</v>
      </c>
      <c r="F511" t="s">
        <v>49</v>
      </c>
      <c r="G511" t="s">
        <v>20</v>
      </c>
      <c r="H511" t="s">
        <v>615</v>
      </c>
      <c r="I511">
        <v>0</v>
      </c>
      <c r="J511" t="s">
        <v>16</v>
      </c>
    </row>
    <row r="512" spans="1:10" x14ac:dyDescent="0.3">
      <c r="A512" t="s">
        <v>653</v>
      </c>
      <c r="B512" t="s">
        <v>713</v>
      </c>
      <c r="C512" t="s">
        <v>35</v>
      </c>
      <c r="D512">
        <v>540.54</v>
      </c>
      <c r="E512">
        <v>40</v>
      </c>
      <c r="F512" t="s">
        <v>24</v>
      </c>
      <c r="G512" t="s">
        <v>58</v>
      </c>
      <c r="H512" t="s">
        <v>615</v>
      </c>
      <c r="I512">
        <v>1</v>
      </c>
      <c r="J512" t="s">
        <v>30</v>
      </c>
    </row>
    <row r="513" spans="1:10" x14ac:dyDescent="0.3">
      <c r="A513" t="s">
        <v>137</v>
      </c>
      <c r="B513" t="s">
        <v>313</v>
      </c>
      <c r="C513" t="s">
        <v>35</v>
      </c>
      <c r="D513">
        <v>3225.14</v>
      </c>
      <c r="E513">
        <v>35</v>
      </c>
      <c r="F513" t="s">
        <v>19</v>
      </c>
      <c r="G513" t="s">
        <v>58</v>
      </c>
      <c r="H513" t="s">
        <v>615</v>
      </c>
      <c r="I513">
        <v>0</v>
      </c>
      <c r="J513" t="s">
        <v>16</v>
      </c>
    </row>
    <row r="514" spans="1:10" x14ac:dyDescent="0.3">
      <c r="A514" t="s">
        <v>714</v>
      </c>
      <c r="B514" t="s">
        <v>715</v>
      </c>
      <c r="C514" t="s">
        <v>23</v>
      </c>
      <c r="D514">
        <v>4687.6099999999997</v>
      </c>
      <c r="E514">
        <v>48</v>
      </c>
      <c r="F514" t="s">
        <v>19</v>
      </c>
      <c r="G514" t="s">
        <v>46</v>
      </c>
      <c r="H514" t="s">
        <v>615</v>
      </c>
      <c r="I514">
        <v>0</v>
      </c>
      <c r="J514" t="s">
        <v>16</v>
      </c>
    </row>
    <row r="515" spans="1:10" x14ac:dyDescent="0.3">
      <c r="A515" t="s">
        <v>716</v>
      </c>
      <c r="B515" t="s">
        <v>717</v>
      </c>
      <c r="C515" t="s">
        <v>12</v>
      </c>
      <c r="D515">
        <v>226.91</v>
      </c>
      <c r="E515">
        <v>32</v>
      </c>
      <c r="F515" t="s">
        <v>49</v>
      </c>
      <c r="G515" t="s">
        <v>29</v>
      </c>
      <c r="H515" t="s">
        <v>615</v>
      </c>
      <c r="I515">
        <v>1</v>
      </c>
      <c r="J515" t="s">
        <v>30</v>
      </c>
    </row>
    <row r="516" spans="1:10" x14ac:dyDescent="0.3">
      <c r="A516" t="s">
        <v>718</v>
      </c>
      <c r="B516" t="s">
        <v>445</v>
      </c>
      <c r="C516" t="s">
        <v>35</v>
      </c>
      <c r="D516">
        <v>4219.83</v>
      </c>
      <c r="E516">
        <v>1</v>
      </c>
      <c r="F516" t="s">
        <v>36</v>
      </c>
      <c r="G516" t="s">
        <v>58</v>
      </c>
      <c r="H516" t="s">
        <v>615</v>
      </c>
      <c r="I516">
        <v>0</v>
      </c>
      <c r="J516" t="s">
        <v>16</v>
      </c>
    </row>
    <row r="517" spans="1:10" x14ac:dyDescent="0.3">
      <c r="A517" t="s">
        <v>607</v>
      </c>
      <c r="B517" t="s">
        <v>719</v>
      </c>
      <c r="C517" t="s">
        <v>12</v>
      </c>
      <c r="D517">
        <v>1918.35</v>
      </c>
      <c r="E517">
        <v>3</v>
      </c>
      <c r="F517" t="s">
        <v>45</v>
      </c>
      <c r="G517" t="s">
        <v>58</v>
      </c>
      <c r="H517" t="s">
        <v>615</v>
      </c>
      <c r="I517">
        <v>1</v>
      </c>
      <c r="J517" t="s">
        <v>30</v>
      </c>
    </row>
    <row r="518" spans="1:10" x14ac:dyDescent="0.3">
      <c r="A518" t="s">
        <v>720</v>
      </c>
      <c r="B518" t="s">
        <v>431</v>
      </c>
      <c r="C518" t="s">
        <v>23</v>
      </c>
      <c r="D518">
        <v>786.69</v>
      </c>
      <c r="E518">
        <v>47</v>
      </c>
      <c r="F518" t="s">
        <v>13</v>
      </c>
      <c r="G518" t="s">
        <v>25</v>
      </c>
      <c r="H518" t="s">
        <v>615</v>
      </c>
      <c r="I518">
        <v>1</v>
      </c>
      <c r="J518" t="s">
        <v>30</v>
      </c>
    </row>
    <row r="519" spans="1:10" x14ac:dyDescent="0.3">
      <c r="A519" t="s">
        <v>288</v>
      </c>
      <c r="B519" t="s">
        <v>27</v>
      </c>
      <c r="C519" t="s">
        <v>23</v>
      </c>
      <c r="D519">
        <v>3132.7</v>
      </c>
      <c r="E519">
        <v>17</v>
      </c>
      <c r="F519" t="s">
        <v>45</v>
      </c>
      <c r="G519" t="s">
        <v>29</v>
      </c>
      <c r="H519" t="s">
        <v>615</v>
      </c>
      <c r="I519">
        <v>0</v>
      </c>
      <c r="J519" t="s">
        <v>16</v>
      </c>
    </row>
    <row r="520" spans="1:10" x14ac:dyDescent="0.3">
      <c r="A520" t="s">
        <v>113</v>
      </c>
      <c r="B520" t="s">
        <v>493</v>
      </c>
      <c r="C520" t="s">
        <v>12</v>
      </c>
      <c r="D520">
        <v>1819.34</v>
      </c>
      <c r="E520">
        <v>26</v>
      </c>
      <c r="F520" t="s">
        <v>36</v>
      </c>
      <c r="G520" t="s">
        <v>29</v>
      </c>
      <c r="H520" t="s">
        <v>615</v>
      </c>
      <c r="I520">
        <v>0</v>
      </c>
      <c r="J520" t="s">
        <v>16</v>
      </c>
    </row>
    <row r="521" spans="1:10" x14ac:dyDescent="0.3">
      <c r="A521" t="s">
        <v>39</v>
      </c>
      <c r="B521" t="s">
        <v>158</v>
      </c>
      <c r="C521" t="s">
        <v>23</v>
      </c>
      <c r="D521">
        <v>4054.59</v>
      </c>
      <c r="E521">
        <v>49</v>
      </c>
      <c r="F521" t="s">
        <v>49</v>
      </c>
      <c r="G521" t="s">
        <v>14</v>
      </c>
      <c r="H521" t="s">
        <v>615</v>
      </c>
      <c r="I521">
        <v>0</v>
      </c>
      <c r="J521" t="s">
        <v>16</v>
      </c>
    </row>
    <row r="522" spans="1:10" x14ac:dyDescent="0.3">
      <c r="A522" t="s">
        <v>74</v>
      </c>
      <c r="B522" t="s">
        <v>232</v>
      </c>
      <c r="C522" t="s">
        <v>12</v>
      </c>
      <c r="D522">
        <v>168.51</v>
      </c>
      <c r="E522">
        <v>6</v>
      </c>
      <c r="F522" t="s">
        <v>24</v>
      </c>
      <c r="G522" t="s">
        <v>25</v>
      </c>
      <c r="H522" t="s">
        <v>615</v>
      </c>
      <c r="I522">
        <v>0</v>
      </c>
      <c r="J522" t="s">
        <v>16</v>
      </c>
    </row>
    <row r="523" spans="1:10" x14ac:dyDescent="0.3">
      <c r="A523" t="s">
        <v>556</v>
      </c>
      <c r="B523" t="s">
        <v>721</v>
      </c>
      <c r="C523" t="s">
        <v>12</v>
      </c>
      <c r="D523">
        <v>865.25</v>
      </c>
      <c r="E523">
        <v>41</v>
      </c>
      <c r="F523" t="s">
        <v>49</v>
      </c>
      <c r="G523" t="s">
        <v>46</v>
      </c>
      <c r="H523" t="s">
        <v>615</v>
      </c>
      <c r="I523">
        <v>0</v>
      </c>
      <c r="J523" t="s">
        <v>16</v>
      </c>
    </row>
    <row r="524" spans="1:10" x14ac:dyDescent="0.3">
      <c r="A524" t="s">
        <v>714</v>
      </c>
      <c r="B524" t="s">
        <v>722</v>
      </c>
      <c r="C524" t="s">
        <v>28</v>
      </c>
      <c r="D524">
        <v>188.42</v>
      </c>
      <c r="E524">
        <v>25</v>
      </c>
      <c r="F524" t="s">
        <v>24</v>
      </c>
      <c r="G524" t="s">
        <v>46</v>
      </c>
      <c r="H524" t="s">
        <v>615</v>
      </c>
      <c r="I524">
        <v>0</v>
      </c>
      <c r="J524" t="s">
        <v>16</v>
      </c>
    </row>
    <row r="525" spans="1:10" x14ac:dyDescent="0.3">
      <c r="A525" t="s">
        <v>723</v>
      </c>
      <c r="B525" t="s">
        <v>724</v>
      </c>
      <c r="C525" t="s">
        <v>23</v>
      </c>
      <c r="D525">
        <v>967.52</v>
      </c>
      <c r="E525">
        <v>46</v>
      </c>
      <c r="F525" t="s">
        <v>45</v>
      </c>
      <c r="G525" t="s">
        <v>46</v>
      </c>
      <c r="H525" t="s">
        <v>615</v>
      </c>
      <c r="I525">
        <v>0</v>
      </c>
      <c r="J525" t="s">
        <v>16</v>
      </c>
    </row>
    <row r="526" spans="1:10" x14ac:dyDescent="0.3">
      <c r="A526" t="s">
        <v>725</v>
      </c>
      <c r="B526" t="s">
        <v>726</v>
      </c>
      <c r="C526" t="s">
        <v>28</v>
      </c>
      <c r="D526">
        <v>1922.44</v>
      </c>
      <c r="E526">
        <v>12</v>
      </c>
      <c r="F526" t="s">
        <v>49</v>
      </c>
      <c r="G526" t="s">
        <v>46</v>
      </c>
      <c r="H526" t="s">
        <v>615</v>
      </c>
      <c r="I526">
        <v>0</v>
      </c>
      <c r="J526" t="s">
        <v>16</v>
      </c>
    </row>
    <row r="527" spans="1:10" x14ac:dyDescent="0.3">
      <c r="A527" t="s">
        <v>249</v>
      </c>
      <c r="B527" t="s">
        <v>562</v>
      </c>
      <c r="C527" t="s">
        <v>12</v>
      </c>
      <c r="D527">
        <v>1979.7</v>
      </c>
      <c r="E527">
        <v>36</v>
      </c>
      <c r="F527" t="s">
        <v>36</v>
      </c>
      <c r="G527" t="s">
        <v>20</v>
      </c>
      <c r="H527" t="s">
        <v>615</v>
      </c>
      <c r="I527">
        <v>0</v>
      </c>
      <c r="J527" t="s">
        <v>16</v>
      </c>
    </row>
    <row r="528" spans="1:10" x14ac:dyDescent="0.3">
      <c r="A528" t="s">
        <v>632</v>
      </c>
      <c r="B528" t="s">
        <v>700</v>
      </c>
      <c r="C528" t="s">
        <v>28</v>
      </c>
      <c r="D528">
        <v>3643.13</v>
      </c>
      <c r="E528">
        <v>3</v>
      </c>
      <c r="F528" t="s">
        <v>24</v>
      </c>
      <c r="G528" t="s">
        <v>29</v>
      </c>
      <c r="H528" t="s">
        <v>615</v>
      </c>
      <c r="I528">
        <v>0</v>
      </c>
      <c r="J528" t="s">
        <v>16</v>
      </c>
    </row>
    <row r="529" spans="1:10" x14ac:dyDescent="0.3">
      <c r="A529" t="s">
        <v>288</v>
      </c>
      <c r="B529" t="s">
        <v>727</v>
      </c>
      <c r="C529" t="s">
        <v>12</v>
      </c>
      <c r="D529">
        <v>4265.63</v>
      </c>
      <c r="E529">
        <v>20</v>
      </c>
      <c r="F529" t="s">
        <v>19</v>
      </c>
      <c r="G529" t="s">
        <v>14</v>
      </c>
      <c r="H529" t="s">
        <v>615</v>
      </c>
      <c r="I529">
        <v>1</v>
      </c>
      <c r="J529" t="s">
        <v>30</v>
      </c>
    </row>
    <row r="530" spans="1:10" x14ac:dyDescent="0.3">
      <c r="A530" t="s">
        <v>283</v>
      </c>
      <c r="B530" t="s">
        <v>487</v>
      </c>
      <c r="C530" t="s">
        <v>12</v>
      </c>
      <c r="D530">
        <v>1328.39</v>
      </c>
      <c r="E530">
        <v>13</v>
      </c>
      <c r="F530" t="s">
        <v>49</v>
      </c>
      <c r="G530" t="s">
        <v>25</v>
      </c>
      <c r="H530" t="s">
        <v>615</v>
      </c>
      <c r="I530">
        <v>1</v>
      </c>
      <c r="J530" t="s">
        <v>30</v>
      </c>
    </row>
    <row r="531" spans="1:10" x14ac:dyDescent="0.3">
      <c r="A531" t="s">
        <v>728</v>
      </c>
      <c r="B531" t="s">
        <v>692</v>
      </c>
      <c r="C531" t="s">
        <v>12</v>
      </c>
      <c r="D531">
        <v>1900.7</v>
      </c>
      <c r="E531">
        <v>13</v>
      </c>
      <c r="F531" t="s">
        <v>19</v>
      </c>
      <c r="G531" t="s">
        <v>20</v>
      </c>
      <c r="H531" t="s">
        <v>615</v>
      </c>
      <c r="I531">
        <v>0</v>
      </c>
      <c r="J531" t="s">
        <v>16</v>
      </c>
    </row>
    <row r="532" spans="1:10" x14ac:dyDescent="0.3">
      <c r="A532" t="s">
        <v>729</v>
      </c>
      <c r="B532" t="s">
        <v>730</v>
      </c>
      <c r="C532" t="s">
        <v>35</v>
      </c>
      <c r="D532">
        <v>968.95</v>
      </c>
      <c r="E532">
        <v>25</v>
      </c>
      <c r="F532" t="s">
        <v>13</v>
      </c>
      <c r="G532" t="s">
        <v>20</v>
      </c>
      <c r="H532" t="s">
        <v>615</v>
      </c>
      <c r="I532">
        <v>0</v>
      </c>
      <c r="J532" t="s">
        <v>16</v>
      </c>
    </row>
    <row r="533" spans="1:10" x14ac:dyDescent="0.3">
      <c r="A533" t="s">
        <v>467</v>
      </c>
      <c r="B533" t="s">
        <v>267</v>
      </c>
      <c r="C533" t="s">
        <v>35</v>
      </c>
      <c r="D533">
        <v>4587.93</v>
      </c>
      <c r="E533">
        <v>29</v>
      </c>
      <c r="F533" t="s">
        <v>36</v>
      </c>
      <c r="G533" t="s">
        <v>58</v>
      </c>
      <c r="H533" t="s">
        <v>615</v>
      </c>
      <c r="I533">
        <v>0</v>
      </c>
      <c r="J533" t="s">
        <v>16</v>
      </c>
    </row>
    <row r="534" spans="1:10" x14ac:dyDescent="0.3">
      <c r="A534" t="s">
        <v>292</v>
      </c>
      <c r="B534" t="s">
        <v>504</v>
      </c>
      <c r="C534" t="s">
        <v>12</v>
      </c>
      <c r="D534">
        <v>2640.66</v>
      </c>
      <c r="E534">
        <v>27</v>
      </c>
      <c r="F534" t="s">
        <v>24</v>
      </c>
      <c r="G534" t="s">
        <v>20</v>
      </c>
      <c r="H534" t="s">
        <v>615</v>
      </c>
      <c r="I534">
        <v>1</v>
      </c>
      <c r="J534" t="s">
        <v>30</v>
      </c>
    </row>
    <row r="535" spans="1:10" x14ac:dyDescent="0.3">
      <c r="A535" t="s">
        <v>488</v>
      </c>
      <c r="B535" t="s">
        <v>299</v>
      </c>
      <c r="C535" t="s">
        <v>28</v>
      </c>
      <c r="D535">
        <v>3499.56</v>
      </c>
      <c r="E535">
        <v>16</v>
      </c>
      <c r="F535" t="s">
        <v>19</v>
      </c>
      <c r="G535" t="s">
        <v>14</v>
      </c>
      <c r="H535" t="s">
        <v>615</v>
      </c>
      <c r="I535">
        <v>0</v>
      </c>
      <c r="J535" t="s">
        <v>16</v>
      </c>
    </row>
    <row r="536" spans="1:10" x14ac:dyDescent="0.3">
      <c r="A536" t="s">
        <v>731</v>
      </c>
      <c r="B536" t="s">
        <v>134</v>
      </c>
      <c r="C536" t="s">
        <v>23</v>
      </c>
      <c r="D536">
        <v>1647.2</v>
      </c>
      <c r="E536">
        <v>49</v>
      </c>
      <c r="F536" t="s">
        <v>45</v>
      </c>
      <c r="G536" t="s">
        <v>46</v>
      </c>
      <c r="H536" t="s">
        <v>615</v>
      </c>
      <c r="I536">
        <v>0</v>
      </c>
      <c r="J536" t="s">
        <v>16</v>
      </c>
    </row>
    <row r="537" spans="1:10" x14ac:dyDescent="0.3">
      <c r="A537" t="s">
        <v>732</v>
      </c>
      <c r="B537" t="s">
        <v>733</v>
      </c>
      <c r="C537" t="s">
        <v>28</v>
      </c>
      <c r="D537">
        <v>3323.12</v>
      </c>
      <c r="E537">
        <v>18</v>
      </c>
      <c r="F537" t="s">
        <v>24</v>
      </c>
      <c r="G537" t="s">
        <v>58</v>
      </c>
      <c r="H537" t="s">
        <v>615</v>
      </c>
      <c r="I537">
        <v>0</v>
      </c>
      <c r="J537" t="s">
        <v>16</v>
      </c>
    </row>
    <row r="538" spans="1:10" x14ac:dyDescent="0.3">
      <c r="A538" t="s">
        <v>551</v>
      </c>
      <c r="B538" t="s">
        <v>734</v>
      </c>
      <c r="C538" t="s">
        <v>28</v>
      </c>
      <c r="D538">
        <v>1105.8</v>
      </c>
      <c r="E538">
        <v>18</v>
      </c>
      <c r="F538" t="s">
        <v>49</v>
      </c>
      <c r="G538" t="s">
        <v>58</v>
      </c>
      <c r="H538" t="s">
        <v>615</v>
      </c>
      <c r="I538">
        <v>0</v>
      </c>
      <c r="J538" t="s">
        <v>16</v>
      </c>
    </row>
    <row r="539" spans="1:10" x14ac:dyDescent="0.3">
      <c r="A539" t="s">
        <v>60</v>
      </c>
      <c r="B539" t="s">
        <v>735</v>
      </c>
      <c r="C539" t="s">
        <v>28</v>
      </c>
      <c r="D539">
        <v>1693.58</v>
      </c>
      <c r="E539">
        <v>36</v>
      </c>
      <c r="F539" t="s">
        <v>13</v>
      </c>
      <c r="G539" t="s">
        <v>20</v>
      </c>
      <c r="H539" t="s">
        <v>615</v>
      </c>
      <c r="I539">
        <v>0</v>
      </c>
      <c r="J539" t="s">
        <v>16</v>
      </c>
    </row>
    <row r="540" spans="1:10" x14ac:dyDescent="0.3">
      <c r="A540" t="s">
        <v>736</v>
      </c>
      <c r="B540" t="s">
        <v>737</v>
      </c>
      <c r="C540" t="s">
        <v>23</v>
      </c>
      <c r="D540">
        <v>4443.46</v>
      </c>
      <c r="E540">
        <v>46</v>
      </c>
      <c r="F540" t="s">
        <v>45</v>
      </c>
      <c r="G540" t="s">
        <v>58</v>
      </c>
      <c r="H540" t="s">
        <v>615</v>
      </c>
      <c r="I540">
        <v>1</v>
      </c>
      <c r="J540" t="s">
        <v>30</v>
      </c>
    </row>
    <row r="541" spans="1:10" x14ac:dyDescent="0.3">
      <c r="A541" t="s">
        <v>738</v>
      </c>
      <c r="B541" t="s">
        <v>154</v>
      </c>
      <c r="C541" t="s">
        <v>28</v>
      </c>
      <c r="D541">
        <v>1268.94</v>
      </c>
      <c r="E541">
        <v>17</v>
      </c>
      <c r="F541" t="s">
        <v>19</v>
      </c>
      <c r="G541" t="s">
        <v>29</v>
      </c>
      <c r="H541" t="s">
        <v>615</v>
      </c>
      <c r="I541">
        <v>0</v>
      </c>
      <c r="J541" t="s">
        <v>16</v>
      </c>
    </row>
    <row r="542" spans="1:10" x14ac:dyDescent="0.3">
      <c r="A542" t="s">
        <v>391</v>
      </c>
      <c r="B542" t="s">
        <v>735</v>
      </c>
      <c r="C542" t="s">
        <v>35</v>
      </c>
      <c r="D542">
        <v>3675.39</v>
      </c>
      <c r="E542">
        <v>2</v>
      </c>
      <c r="F542" t="s">
        <v>36</v>
      </c>
      <c r="G542" t="s">
        <v>58</v>
      </c>
      <c r="H542" t="s">
        <v>615</v>
      </c>
      <c r="I542">
        <v>0</v>
      </c>
      <c r="J542" t="s">
        <v>16</v>
      </c>
    </row>
    <row r="543" spans="1:10" x14ac:dyDescent="0.3">
      <c r="A543" t="s">
        <v>690</v>
      </c>
      <c r="B543" t="s">
        <v>656</v>
      </c>
      <c r="C543" t="s">
        <v>28</v>
      </c>
      <c r="D543">
        <v>816.23</v>
      </c>
      <c r="E543">
        <v>41</v>
      </c>
      <c r="F543" t="s">
        <v>24</v>
      </c>
      <c r="G543" t="s">
        <v>46</v>
      </c>
      <c r="H543" t="s">
        <v>615</v>
      </c>
      <c r="I543">
        <v>1</v>
      </c>
      <c r="J543" t="s">
        <v>30</v>
      </c>
    </row>
    <row r="544" spans="1:10" x14ac:dyDescent="0.3">
      <c r="A544" t="s">
        <v>739</v>
      </c>
      <c r="B544" t="s">
        <v>709</v>
      </c>
      <c r="C544" t="s">
        <v>12</v>
      </c>
      <c r="D544">
        <v>2985.28</v>
      </c>
      <c r="E544">
        <v>38</v>
      </c>
      <c r="F544" t="s">
        <v>36</v>
      </c>
      <c r="G544" t="s">
        <v>46</v>
      </c>
      <c r="H544" t="s">
        <v>615</v>
      </c>
      <c r="I544">
        <v>1</v>
      </c>
      <c r="J544" t="s">
        <v>30</v>
      </c>
    </row>
    <row r="545" spans="1:10" x14ac:dyDescent="0.3">
      <c r="A545" t="s">
        <v>228</v>
      </c>
      <c r="B545" t="s">
        <v>96</v>
      </c>
      <c r="C545" t="s">
        <v>23</v>
      </c>
      <c r="D545">
        <v>4081.24</v>
      </c>
      <c r="E545">
        <v>50</v>
      </c>
      <c r="F545" t="s">
        <v>19</v>
      </c>
      <c r="G545" t="s">
        <v>25</v>
      </c>
      <c r="H545" t="s">
        <v>615</v>
      </c>
      <c r="I545">
        <v>1</v>
      </c>
      <c r="J545" t="s">
        <v>30</v>
      </c>
    </row>
    <row r="546" spans="1:10" x14ac:dyDescent="0.3">
      <c r="A546" t="s">
        <v>184</v>
      </c>
      <c r="B546" t="s">
        <v>740</v>
      </c>
      <c r="C546" t="s">
        <v>35</v>
      </c>
      <c r="D546">
        <v>164.13</v>
      </c>
      <c r="E546">
        <v>19</v>
      </c>
      <c r="F546" t="s">
        <v>49</v>
      </c>
      <c r="G546" t="s">
        <v>46</v>
      </c>
      <c r="H546" t="s">
        <v>615</v>
      </c>
      <c r="I546">
        <v>0</v>
      </c>
      <c r="J546" t="s">
        <v>16</v>
      </c>
    </row>
    <row r="547" spans="1:10" x14ac:dyDescent="0.3">
      <c r="A547" t="s">
        <v>707</v>
      </c>
      <c r="B547" t="s">
        <v>741</v>
      </c>
      <c r="C547" t="s">
        <v>23</v>
      </c>
      <c r="D547">
        <v>3339.54</v>
      </c>
      <c r="E547">
        <v>41</v>
      </c>
      <c r="F547" t="s">
        <v>19</v>
      </c>
      <c r="G547" t="s">
        <v>25</v>
      </c>
      <c r="H547" t="s">
        <v>615</v>
      </c>
      <c r="I547">
        <v>1</v>
      </c>
      <c r="J547" t="s">
        <v>30</v>
      </c>
    </row>
    <row r="548" spans="1:10" x14ac:dyDescent="0.3">
      <c r="A548" t="s">
        <v>107</v>
      </c>
      <c r="B548" t="s">
        <v>742</v>
      </c>
      <c r="C548" t="s">
        <v>23</v>
      </c>
      <c r="D548">
        <v>4296.3</v>
      </c>
      <c r="E548">
        <v>25</v>
      </c>
      <c r="F548" t="s">
        <v>24</v>
      </c>
      <c r="G548" t="s">
        <v>58</v>
      </c>
      <c r="H548" t="s">
        <v>615</v>
      </c>
      <c r="I548">
        <v>1</v>
      </c>
      <c r="J548" t="s">
        <v>30</v>
      </c>
    </row>
    <row r="549" spans="1:10" x14ac:dyDescent="0.3">
      <c r="A549" t="s">
        <v>743</v>
      </c>
      <c r="B549" t="s">
        <v>744</v>
      </c>
      <c r="C549" t="s">
        <v>35</v>
      </c>
      <c r="D549">
        <v>459.78</v>
      </c>
      <c r="E549">
        <v>46</v>
      </c>
      <c r="F549" t="s">
        <v>13</v>
      </c>
      <c r="G549" t="s">
        <v>14</v>
      </c>
      <c r="H549" t="s">
        <v>615</v>
      </c>
      <c r="I549">
        <v>0</v>
      </c>
      <c r="J549" t="s">
        <v>16</v>
      </c>
    </row>
    <row r="550" spans="1:10" x14ac:dyDescent="0.3">
      <c r="A550" t="s">
        <v>745</v>
      </c>
      <c r="B550" t="s">
        <v>470</v>
      </c>
      <c r="C550" t="s">
        <v>12</v>
      </c>
      <c r="D550">
        <v>4128.66</v>
      </c>
      <c r="E550">
        <v>34</v>
      </c>
      <c r="F550" t="s">
        <v>13</v>
      </c>
      <c r="G550" t="s">
        <v>20</v>
      </c>
      <c r="H550" t="s">
        <v>615</v>
      </c>
      <c r="I550">
        <v>1</v>
      </c>
      <c r="J550" t="s">
        <v>30</v>
      </c>
    </row>
    <row r="551" spans="1:10" x14ac:dyDescent="0.3">
      <c r="A551" t="s">
        <v>329</v>
      </c>
      <c r="B551" t="s">
        <v>257</v>
      </c>
      <c r="C551" t="s">
        <v>12</v>
      </c>
      <c r="D551">
        <v>4843.3100000000004</v>
      </c>
      <c r="E551">
        <v>7</v>
      </c>
      <c r="F551" t="s">
        <v>49</v>
      </c>
      <c r="G551" t="s">
        <v>14</v>
      </c>
      <c r="H551" t="s">
        <v>615</v>
      </c>
      <c r="I551">
        <v>1</v>
      </c>
      <c r="J551" t="s">
        <v>30</v>
      </c>
    </row>
    <row r="552" spans="1:10" x14ac:dyDescent="0.3">
      <c r="A552" t="s">
        <v>739</v>
      </c>
      <c r="B552" t="s">
        <v>746</v>
      </c>
      <c r="C552" t="s">
        <v>28</v>
      </c>
      <c r="D552">
        <v>940.59</v>
      </c>
      <c r="E552">
        <v>28</v>
      </c>
      <c r="F552" t="s">
        <v>19</v>
      </c>
      <c r="G552" t="s">
        <v>25</v>
      </c>
      <c r="H552" t="s">
        <v>615</v>
      </c>
      <c r="I552">
        <v>1</v>
      </c>
      <c r="J552" t="s">
        <v>30</v>
      </c>
    </row>
    <row r="553" spans="1:10" x14ac:dyDescent="0.3">
      <c r="A553" t="s">
        <v>228</v>
      </c>
      <c r="B553" t="s">
        <v>747</v>
      </c>
      <c r="C553" t="s">
        <v>28</v>
      </c>
      <c r="D553">
        <v>496.19</v>
      </c>
      <c r="E553">
        <v>47</v>
      </c>
      <c r="F553" t="s">
        <v>19</v>
      </c>
      <c r="G553" t="s">
        <v>58</v>
      </c>
      <c r="H553" t="s">
        <v>615</v>
      </c>
      <c r="I553">
        <v>1</v>
      </c>
      <c r="J553" t="s">
        <v>30</v>
      </c>
    </row>
    <row r="554" spans="1:10" x14ac:dyDescent="0.3">
      <c r="A554" t="s">
        <v>748</v>
      </c>
      <c r="B554" t="s">
        <v>749</v>
      </c>
      <c r="C554" t="s">
        <v>28</v>
      </c>
      <c r="D554">
        <v>3157.63</v>
      </c>
      <c r="E554">
        <v>50</v>
      </c>
      <c r="F554" t="s">
        <v>24</v>
      </c>
      <c r="G554" t="s">
        <v>29</v>
      </c>
      <c r="H554" t="s">
        <v>615</v>
      </c>
      <c r="I554">
        <v>1</v>
      </c>
      <c r="J554" t="s">
        <v>30</v>
      </c>
    </row>
    <row r="555" spans="1:10" x14ac:dyDescent="0.3">
      <c r="A555" t="s">
        <v>750</v>
      </c>
      <c r="B555" t="s">
        <v>621</v>
      </c>
      <c r="C555" t="s">
        <v>12</v>
      </c>
      <c r="D555">
        <v>520.99</v>
      </c>
      <c r="E555">
        <v>42</v>
      </c>
      <c r="F555" t="s">
        <v>36</v>
      </c>
      <c r="G555" t="s">
        <v>46</v>
      </c>
      <c r="H555" t="s">
        <v>615</v>
      </c>
      <c r="I555">
        <v>1</v>
      </c>
      <c r="J555" t="s">
        <v>30</v>
      </c>
    </row>
    <row r="556" spans="1:10" x14ac:dyDescent="0.3">
      <c r="A556" t="s">
        <v>751</v>
      </c>
      <c r="B556" t="s">
        <v>752</v>
      </c>
      <c r="C556" t="s">
        <v>28</v>
      </c>
      <c r="D556">
        <v>1766.05</v>
      </c>
      <c r="E556">
        <v>36</v>
      </c>
      <c r="F556" t="s">
        <v>24</v>
      </c>
      <c r="G556" t="s">
        <v>25</v>
      </c>
      <c r="H556" t="s">
        <v>615</v>
      </c>
      <c r="I556">
        <v>1</v>
      </c>
      <c r="J556" t="s">
        <v>30</v>
      </c>
    </row>
    <row r="557" spans="1:10" x14ac:dyDescent="0.3">
      <c r="A557" t="s">
        <v>753</v>
      </c>
      <c r="B557" t="s">
        <v>754</v>
      </c>
      <c r="C557" t="s">
        <v>23</v>
      </c>
      <c r="D557">
        <v>4714.3900000000003</v>
      </c>
      <c r="E557">
        <v>40</v>
      </c>
      <c r="F557" t="s">
        <v>24</v>
      </c>
      <c r="G557" t="s">
        <v>20</v>
      </c>
      <c r="H557" t="s">
        <v>615</v>
      </c>
      <c r="I557">
        <v>1</v>
      </c>
      <c r="J557" t="s">
        <v>30</v>
      </c>
    </row>
    <row r="558" spans="1:10" x14ac:dyDescent="0.3">
      <c r="A558" t="s">
        <v>314</v>
      </c>
      <c r="B558" t="s">
        <v>755</v>
      </c>
      <c r="C558" t="s">
        <v>23</v>
      </c>
      <c r="D558">
        <v>3711.7</v>
      </c>
      <c r="E558">
        <v>8</v>
      </c>
      <c r="F558" t="s">
        <v>13</v>
      </c>
      <c r="G558" t="s">
        <v>25</v>
      </c>
      <c r="H558" t="s">
        <v>615</v>
      </c>
      <c r="I558">
        <v>0</v>
      </c>
      <c r="J558" t="s">
        <v>16</v>
      </c>
    </row>
    <row r="559" spans="1:10" x14ac:dyDescent="0.3">
      <c r="A559" t="s">
        <v>103</v>
      </c>
      <c r="B559" t="s">
        <v>293</v>
      </c>
      <c r="C559" t="s">
        <v>28</v>
      </c>
      <c r="D559">
        <v>2445.44</v>
      </c>
      <c r="E559">
        <v>22</v>
      </c>
      <c r="F559" t="s">
        <v>45</v>
      </c>
      <c r="G559" t="s">
        <v>46</v>
      </c>
      <c r="H559" t="s">
        <v>615</v>
      </c>
      <c r="I559">
        <v>0</v>
      </c>
      <c r="J559" t="s">
        <v>16</v>
      </c>
    </row>
    <row r="560" spans="1:10" x14ac:dyDescent="0.3">
      <c r="A560" t="s">
        <v>456</v>
      </c>
      <c r="B560" t="s">
        <v>756</v>
      </c>
      <c r="C560" t="s">
        <v>23</v>
      </c>
      <c r="D560">
        <v>1157.82</v>
      </c>
      <c r="E560">
        <v>46</v>
      </c>
      <c r="F560" t="s">
        <v>45</v>
      </c>
      <c r="G560" t="s">
        <v>58</v>
      </c>
      <c r="H560" t="s">
        <v>615</v>
      </c>
      <c r="I560">
        <v>1</v>
      </c>
      <c r="J560" t="s">
        <v>30</v>
      </c>
    </row>
    <row r="561" spans="1:10" x14ac:dyDescent="0.3">
      <c r="A561" t="s">
        <v>757</v>
      </c>
      <c r="B561" t="s">
        <v>744</v>
      </c>
      <c r="C561" t="s">
        <v>35</v>
      </c>
      <c r="D561">
        <v>3636.66</v>
      </c>
      <c r="E561">
        <v>8</v>
      </c>
      <c r="F561" t="s">
        <v>19</v>
      </c>
      <c r="G561" t="s">
        <v>25</v>
      </c>
      <c r="H561" t="s">
        <v>615</v>
      </c>
      <c r="I561">
        <v>0</v>
      </c>
      <c r="J561" t="s">
        <v>16</v>
      </c>
    </row>
    <row r="562" spans="1:10" x14ac:dyDescent="0.3">
      <c r="A562" t="s">
        <v>182</v>
      </c>
      <c r="B562" t="s">
        <v>758</v>
      </c>
      <c r="C562" t="s">
        <v>28</v>
      </c>
      <c r="D562">
        <v>3889.45</v>
      </c>
      <c r="E562">
        <v>11</v>
      </c>
      <c r="F562" t="s">
        <v>36</v>
      </c>
      <c r="G562" t="s">
        <v>29</v>
      </c>
      <c r="H562" t="s">
        <v>615</v>
      </c>
      <c r="I562">
        <v>1</v>
      </c>
      <c r="J562" t="s">
        <v>30</v>
      </c>
    </row>
    <row r="563" spans="1:10" x14ac:dyDescent="0.3">
      <c r="A563" t="s">
        <v>78</v>
      </c>
      <c r="B563" t="s">
        <v>538</v>
      </c>
      <c r="C563" t="s">
        <v>28</v>
      </c>
      <c r="D563">
        <v>272.74</v>
      </c>
      <c r="E563">
        <v>27</v>
      </c>
      <c r="F563" t="s">
        <v>13</v>
      </c>
      <c r="G563" t="s">
        <v>25</v>
      </c>
      <c r="H563" t="s">
        <v>615</v>
      </c>
      <c r="I563">
        <v>0</v>
      </c>
      <c r="J563" t="s">
        <v>16</v>
      </c>
    </row>
    <row r="564" spans="1:10" x14ac:dyDescent="0.3">
      <c r="A564" t="s">
        <v>252</v>
      </c>
      <c r="B564" t="s">
        <v>713</v>
      </c>
      <c r="C564" t="s">
        <v>28</v>
      </c>
      <c r="D564">
        <v>1945.19</v>
      </c>
      <c r="E564">
        <v>19</v>
      </c>
      <c r="F564" t="s">
        <v>45</v>
      </c>
      <c r="G564" t="s">
        <v>25</v>
      </c>
      <c r="H564" t="s">
        <v>615</v>
      </c>
      <c r="I564">
        <v>1</v>
      </c>
      <c r="J564" t="s">
        <v>30</v>
      </c>
    </row>
    <row r="565" spans="1:10" x14ac:dyDescent="0.3">
      <c r="A565" t="s">
        <v>89</v>
      </c>
      <c r="B565" t="s">
        <v>392</v>
      </c>
      <c r="C565" t="s">
        <v>35</v>
      </c>
      <c r="D565">
        <v>3257.92</v>
      </c>
      <c r="E565">
        <v>45</v>
      </c>
      <c r="F565" t="s">
        <v>19</v>
      </c>
      <c r="G565" t="s">
        <v>14</v>
      </c>
      <c r="H565" t="s">
        <v>615</v>
      </c>
      <c r="I565">
        <v>1</v>
      </c>
      <c r="J565" t="s">
        <v>30</v>
      </c>
    </row>
    <row r="566" spans="1:10" x14ac:dyDescent="0.3">
      <c r="A566" t="s">
        <v>759</v>
      </c>
      <c r="B566" t="s">
        <v>760</v>
      </c>
      <c r="C566" t="s">
        <v>28</v>
      </c>
      <c r="D566">
        <v>2791.04</v>
      </c>
      <c r="E566">
        <v>39</v>
      </c>
      <c r="F566" t="s">
        <v>36</v>
      </c>
      <c r="G566" t="s">
        <v>25</v>
      </c>
      <c r="H566" t="s">
        <v>615</v>
      </c>
      <c r="I566">
        <v>0</v>
      </c>
      <c r="J566" t="s">
        <v>16</v>
      </c>
    </row>
    <row r="567" spans="1:10" x14ac:dyDescent="0.3">
      <c r="A567" t="s">
        <v>729</v>
      </c>
      <c r="B567" t="s">
        <v>761</v>
      </c>
      <c r="C567" t="s">
        <v>35</v>
      </c>
      <c r="D567">
        <v>3165.89</v>
      </c>
      <c r="E567">
        <v>46</v>
      </c>
      <c r="F567" t="s">
        <v>13</v>
      </c>
      <c r="G567" t="s">
        <v>14</v>
      </c>
      <c r="H567" t="s">
        <v>615</v>
      </c>
      <c r="I567">
        <v>0</v>
      </c>
      <c r="J567" t="s">
        <v>16</v>
      </c>
    </row>
    <row r="568" spans="1:10" x14ac:dyDescent="0.3">
      <c r="A568" t="s">
        <v>762</v>
      </c>
      <c r="B568" t="s">
        <v>511</v>
      </c>
      <c r="C568" t="s">
        <v>23</v>
      </c>
      <c r="D568">
        <v>1183.94</v>
      </c>
      <c r="E568">
        <v>22</v>
      </c>
      <c r="F568" t="s">
        <v>49</v>
      </c>
      <c r="G568" t="s">
        <v>58</v>
      </c>
      <c r="H568" t="s">
        <v>615</v>
      </c>
      <c r="I568">
        <v>0</v>
      </c>
      <c r="J568" t="s">
        <v>16</v>
      </c>
    </row>
    <row r="569" spans="1:10" x14ac:dyDescent="0.3">
      <c r="A569" t="s">
        <v>268</v>
      </c>
      <c r="B569" t="s">
        <v>742</v>
      </c>
      <c r="C569" t="s">
        <v>28</v>
      </c>
      <c r="D569">
        <v>747.62</v>
      </c>
      <c r="E569">
        <v>4</v>
      </c>
      <c r="F569" t="s">
        <v>49</v>
      </c>
      <c r="G569" t="s">
        <v>25</v>
      </c>
      <c r="H569" t="s">
        <v>615</v>
      </c>
      <c r="I569">
        <v>0</v>
      </c>
      <c r="J569" t="s">
        <v>16</v>
      </c>
    </row>
    <row r="570" spans="1:10" x14ac:dyDescent="0.3">
      <c r="A570" t="s">
        <v>763</v>
      </c>
      <c r="B570" t="s">
        <v>764</v>
      </c>
      <c r="C570" t="s">
        <v>28</v>
      </c>
      <c r="D570">
        <v>135.26</v>
      </c>
      <c r="E570">
        <v>15</v>
      </c>
      <c r="F570" t="s">
        <v>13</v>
      </c>
      <c r="G570" t="s">
        <v>46</v>
      </c>
      <c r="H570" t="s">
        <v>615</v>
      </c>
      <c r="I570">
        <v>0</v>
      </c>
      <c r="J570" t="s">
        <v>16</v>
      </c>
    </row>
    <row r="571" spans="1:10" x14ac:dyDescent="0.3">
      <c r="A571" t="s">
        <v>194</v>
      </c>
      <c r="B571" t="s">
        <v>765</v>
      </c>
      <c r="C571" t="s">
        <v>35</v>
      </c>
      <c r="D571">
        <v>50.36</v>
      </c>
      <c r="E571">
        <v>19</v>
      </c>
      <c r="F571" t="s">
        <v>13</v>
      </c>
      <c r="G571" t="s">
        <v>58</v>
      </c>
      <c r="H571" t="s">
        <v>615</v>
      </c>
      <c r="I571">
        <v>1</v>
      </c>
      <c r="J571" t="s">
        <v>30</v>
      </c>
    </row>
    <row r="572" spans="1:10" x14ac:dyDescent="0.3">
      <c r="A572" t="s">
        <v>558</v>
      </c>
      <c r="B572" t="s">
        <v>766</v>
      </c>
      <c r="C572" t="s">
        <v>12</v>
      </c>
      <c r="D572">
        <v>3994.68</v>
      </c>
      <c r="E572">
        <v>48</v>
      </c>
      <c r="F572" t="s">
        <v>19</v>
      </c>
      <c r="G572" t="s">
        <v>29</v>
      </c>
      <c r="H572" t="s">
        <v>615</v>
      </c>
      <c r="I572">
        <v>0</v>
      </c>
      <c r="J572" t="s">
        <v>16</v>
      </c>
    </row>
    <row r="573" spans="1:10" x14ac:dyDescent="0.3">
      <c r="A573" t="s">
        <v>251</v>
      </c>
      <c r="B573" t="s">
        <v>767</v>
      </c>
      <c r="C573" t="s">
        <v>12</v>
      </c>
      <c r="D573">
        <v>3985.62</v>
      </c>
      <c r="E573">
        <v>10</v>
      </c>
      <c r="F573" t="s">
        <v>13</v>
      </c>
      <c r="G573" t="s">
        <v>20</v>
      </c>
      <c r="H573" t="s">
        <v>615</v>
      </c>
      <c r="I573">
        <v>1</v>
      </c>
      <c r="J573" t="s">
        <v>30</v>
      </c>
    </row>
    <row r="574" spans="1:10" x14ac:dyDescent="0.3">
      <c r="A574" t="s">
        <v>768</v>
      </c>
      <c r="B574" t="s">
        <v>513</v>
      </c>
      <c r="C574" t="s">
        <v>12</v>
      </c>
      <c r="D574">
        <v>4071.11</v>
      </c>
      <c r="E574">
        <v>33</v>
      </c>
      <c r="F574" t="s">
        <v>13</v>
      </c>
      <c r="G574" t="s">
        <v>46</v>
      </c>
      <c r="H574" t="s">
        <v>615</v>
      </c>
      <c r="I574">
        <v>1</v>
      </c>
      <c r="J574" t="s">
        <v>30</v>
      </c>
    </row>
    <row r="575" spans="1:10" x14ac:dyDescent="0.3">
      <c r="A575" t="s">
        <v>245</v>
      </c>
      <c r="B575" t="s">
        <v>769</v>
      </c>
      <c r="C575" t="s">
        <v>23</v>
      </c>
      <c r="D575">
        <v>3203.44</v>
      </c>
      <c r="E575">
        <v>28</v>
      </c>
      <c r="F575" t="s">
        <v>13</v>
      </c>
      <c r="G575" t="s">
        <v>25</v>
      </c>
      <c r="H575" t="s">
        <v>615</v>
      </c>
      <c r="I575">
        <v>0</v>
      </c>
      <c r="J575" t="s">
        <v>16</v>
      </c>
    </row>
    <row r="576" spans="1:10" x14ac:dyDescent="0.3">
      <c r="A576" t="s">
        <v>37</v>
      </c>
      <c r="B576" t="s">
        <v>747</v>
      </c>
      <c r="C576" t="s">
        <v>35</v>
      </c>
      <c r="D576">
        <v>1130.2</v>
      </c>
      <c r="E576">
        <v>10</v>
      </c>
      <c r="F576" t="s">
        <v>19</v>
      </c>
      <c r="G576" t="s">
        <v>25</v>
      </c>
      <c r="H576" t="s">
        <v>615</v>
      </c>
      <c r="I576">
        <v>1</v>
      </c>
      <c r="J576" t="s">
        <v>30</v>
      </c>
    </row>
    <row r="577" spans="1:10" x14ac:dyDescent="0.3">
      <c r="A577" t="s">
        <v>165</v>
      </c>
      <c r="B577" t="s">
        <v>219</v>
      </c>
      <c r="C577" t="s">
        <v>35</v>
      </c>
      <c r="D577">
        <v>2235.11</v>
      </c>
      <c r="E577">
        <v>12</v>
      </c>
      <c r="F577" t="s">
        <v>19</v>
      </c>
      <c r="G577" t="s">
        <v>58</v>
      </c>
      <c r="H577" t="s">
        <v>615</v>
      </c>
      <c r="I577">
        <v>1</v>
      </c>
      <c r="J577" t="s">
        <v>30</v>
      </c>
    </row>
    <row r="578" spans="1:10" x14ac:dyDescent="0.3">
      <c r="A578" t="s">
        <v>770</v>
      </c>
      <c r="B578" t="s">
        <v>771</v>
      </c>
      <c r="C578" t="s">
        <v>12</v>
      </c>
      <c r="D578">
        <v>297.10000000000002</v>
      </c>
      <c r="E578">
        <v>5</v>
      </c>
      <c r="F578" t="s">
        <v>24</v>
      </c>
      <c r="G578" t="s">
        <v>25</v>
      </c>
      <c r="H578" t="s">
        <v>615</v>
      </c>
      <c r="I578">
        <v>1</v>
      </c>
      <c r="J578" t="s">
        <v>30</v>
      </c>
    </row>
    <row r="579" spans="1:10" x14ac:dyDescent="0.3">
      <c r="A579" t="s">
        <v>772</v>
      </c>
      <c r="B579" t="s">
        <v>602</v>
      </c>
      <c r="C579" t="s">
        <v>12</v>
      </c>
      <c r="D579">
        <v>4245.03</v>
      </c>
      <c r="E579">
        <v>35</v>
      </c>
      <c r="F579" t="s">
        <v>13</v>
      </c>
      <c r="G579" t="s">
        <v>14</v>
      </c>
      <c r="H579" t="s">
        <v>615</v>
      </c>
      <c r="I579">
        <v>1</v>
      </c>
      <c r="J579" t="s">
        <v>30</v>
      </c>
    </row>
    <row r="580" spans="1:10" x14ac:dyDescent="0.3">
      <c r="A580" t="s">
        <v>33</v>
      </c>
      <c r="B580" t="s">
        <v>773</v>
      </c>
      <c r="C580" t="s">
        <v>23</v>
      </c>
      <c r="D580">
        <v>3231.06</v>
      </c>
      <c r="E580">
        <v>32</v>
      </c>
      <c r="F580" t="s">
        <v>24</v>
      </c>
      <c r="G580" t="s">
        <v>25</v>
      </c>
      <c r="H580" t="s">
        <v>615</v>
      </c>
      <c r="I580">
        <v>0</v>
      </c>
      <c r="J580" t="s">
        <v>16</v>
      </c>
    </row>
    <row r="581" spans="1:10" x14ac:dyDescent="0.3">
      <c r="A581" t="s">
        <v>434</v>
      </c>
      <c r="B581" t="s">
        <v>774</v>
      </c>
      <c r="C581" t="s">
        <v>35</v>
      </c>
      <c r="D581">
        <v>4604.66</v>
      </c>
      <c r="E581">
        <v>17</v>
      </c>
      <c r="F581" t="s">
        <v>19</v>
      </c>
      <c r="G581" t="s">
        <v>29</v>
      </c>
      <c r="H581" t="s">
        <v>615</v>
      </c>
      <c r="I581">
        <v>1</v>
      </c>
      <c r="J581" t="s">
        <v>30</v>
      </c>
    </row>
    <row r="582" spans="1:10" x14ac:dyDescent="0.3">
      <c r="A582" t="s">
        <v>131</v>
      </c>
      <c r="B582" t="s">
        <v>775</v>
      </c>
      <c r="C582" t="s">
        <v>23</v>
      </c>
      <c r="D582">
        <v>4914.41</v>
      </c>
      <c r="E582">
        <v>29</v>
      </c>
      <c r="F582" t="s">
        <v>13</v>
      </c>
      <c r="G582" t="s">
        <v>14</v>
      </c>
      <c r="H582" t="s">
        <v>615</v>
      </c>
      <c r="I582">
        <v>0</v>
      </c>
      <c r="J582" t="s">
        <v>16</v>
      </c>
    </row>
    <row r="583" spans="1:10" x14ac:dyDescent="0.3">
      <c r="A583" t="s">
        <v>228</v>
      </c>
      <c r="B583" t="s">
        <v>256</v>
      </c>
      <c r="C583" t="s">
        <v>23</v>
      </c>
      <c r="D583">
        <v>558.91999999999996</v>
      </c>
      <c r="E583">
        <v>31</v>
      </c>
      <c r="F583" t="s">
        <v>49</v>
      </c>
      <c r="G583" t="s">
        <v>46</v>
      </c>
      <c r="H583" t="s">
        <v>615</v>
      </c>
      <c r="I583">
        <v>1</v>
      </c>
      <c r="J583" t="s">
        <v>30</v>
      </c>
    </row>
    <row r="584" spans="1:10" x14ac:dyDescent="0.3">
      <c r="A584" t="s">
        <v>10</v>
      </c>
      <c r="B584" t="s">
        <v>573</v>
      </c>
      <c r="C584" t="s">
        <v>28</v>
      </c>
      <c r="D584">
        <v>4080.5</v>
      </c>
      <c r="E584">
        <v>4</v>
      </c>
      <c r="F584" t="s">
        <v>49</v>
      </c>
      <c r="G584" t="s">
        <v>58</v>
      </c>
      <c r="H584" t="s">
        <v>615</v>
      </c>
      <c r="I584">
        <v>1</v>
      </c>
      <c r="J584" t="s">
        <v>30</v>
      </c>
    </row>
    <row r="585" spans="1:10" x14ac:dyDescent="0.3">
      <c r="A585" t="s">
        <v>37</v>
      </c>
      <c r="B585" t="s">
        <v>776</v>
      </c>
      <c r="C585" t="s">
        <v>35</v>
      </c>
      <c r="D585">
        <v>4994.8599999999997</v>
      </c>
      <c r="E585">
        <v>49</v>
      </c>
      <c r="F585" t="s">
        <v>36</v>
      </c>
      <c r="G585" t="s">
        <v>58</v>
      </c>
      <c r="H585" t="s">
        <v>615</v>
      </c>
      <c r="I585">
        <v>1</v>
      </c>
      <c r="J585" t="s">
        <v>30</v>
      </c>
    </row>
    <row r="586" spans="1:10" x14ac:dyDescent="0.3">
      <c r="A586" t="s">
        <v>568</v>
      </c>
      <c r="B586" t="s">
        <v>777</v>
      </c>
      <c r="C586" t="s">
        <v>28</v>
      </c>
      <c r="D586">
        <v>687.14</v>
      </c>
      <c r="E586">
        <v>46</v>
      </c>
      <c r="F586" t="s">
        <v>45</v>
      </c>
      <c r="G586" t="s">
        <v>58</v>
      </c>
      <c r="H586" t="s">
        <v>615</v>
      </c>
      <c r="I586">
        <v>0</v>
      </c>
      <c r="J586" t="s">
        <v>16</v>
      </c>
    </row>
    <row r="587" spans="1:10" x14ac:dyDescent="0.3">
      <c r="A587" t="s">
        <v>665</v>
      </c>
      <c r="B587" t="s">
        <v>418</v>
      </c>
      <c r="C587" t="s">
        <v>28</v>
      </c>
      <c r="D587">
        <v>4824.93</v>
      </c>
      <c r="E587">
        <v>29</v>
      </c>
      <c r="F587" t="s">
        <v>49</v>
      </c>
      <c r="G587" t="s">
        <v>29</v>
      </c>
      <c r="H587" t="s">
        <v>615</v>
      </c>
      <c r="I587">
        <v>0</v>
      </c>
      <c r="J587" t="s">
        <v>16</v>
      </c>
    </row>
    <row r="588" spans="1:10" x14ac:dyDescent="0.3">
      <c r="A588" t="s">
        <v>266</v>
      </c>
      <c r="B588" t="s">
        <v>778</v>
      </c>
      <c r="C588" t="s">
        <v>28</v>
      </c>
      <c r="D588">
        <v>3616.62</v>
      </c>
      <c r="E588">
        <v>31</v>
      </c>
      <c r="F588" t="s">
        <v>49</v>
      </c>
      <c r="G588" t="s">
        <v>29</v>
      </c>
      <c r="H588" t="s">
        <v>615</v>
      </c>
      <c r="I588">
        <v>1</v>
      </c>
      <c r="J588" t="s">
        <v>30</v>
      </c>
    </row>
    <row r="589" spans="1:10" x14ac:dyDescent="0.3">
      <c r="A589" t="s">
        <v>396</v>
      </c>
      <c r="B589" t="s">
        <v>232</v>
      </c>
      <c r="C589" t="s">
        <v>23</v>
      </c>
      <c r="D589">
        <v>2176.71</v>
      </c>
      <c r="E589">
        <v>31</v>
      </c>
      <c r="F589" t="s">
        <v>13</v>
      </c>
      <c r="G589" t="s">
        <v>25</v>
      </c>
      <c r="H589" t="s">
        <v>615</v>
      </c>
      <c r="I589">
        <v>0</v>
      </c>
      <c r="J589" t="s">
        <v>16</v>
      </c>
    </row>
    <row r="590" spans="1:10" x14ac:dyDescent="0.3">
      <c r="A590" t="s">
        <v>731</v>
      </c>
      <c r="B590" t="s">
        <v>350</v>
      </c>
      <c r="C590" t="s">
        <v>23</v>
      </c>
      <c r="D590">
        <v>4861.0600000000004</v>
      </c>
      <c r="E590">
        <v>22</v>
      </c>
      <c r="F590" t="s">
        <v>45</v>
      </c>
      <c r="G590" t="s">
        <v>46</v>
      </c>
      <c r="H590" t="s">
        <v>615</v>
      </c>
      <c r="I590">
        <v>0</v>
      </c>
      <c r="J590" t="s">
        <v>16</v>
      </c>
    </row>
    <row r="591" spans="1:10" x14ac:dyDescent="0.3">
      <c r="A591" t="s">
        <v>294</v>
      </c>
      <c r="B591" t="s">
        <v>703</v>
      </c>
      <c r="C591" t="s">
        <v>12</v>
      </c>
      <c r="D591">
        <v>2126.5300000000002</v>
      </c>
      <c r="E591">
        <v>42</v>
      </c>
      <c r="F591" t="s">
        <v>49</v>
      </c>
      <c r="G591" t="s">
        <v>46</v>
      </c>
      <c r="H591" t="s">
        <v>615</v>
      </c>
      <c r="I591">
        <v>0</v>
      </c>
      <c r="J591" t="s">
        <v>16</v>
      </c>
    </row>
    <row r="592" spans="1:10" x14ac:dyDescent="0.3">
      <c r="A592" t="s">
        <v>779</v>
      </c>
      <c r="B592" t="s">
        <v>555</v>
      </c>
      <c r="C592" t="s">
        <v>35</v>
      </c>
      <c r="D592">
        <v>462.18</v>
      </c>
      <c r="E592">
        <v>41</v>
      </c>
      <c r="F592" t="s">
        <v>24</v>
      </c>
      <c r="G592" t="s">
        <v>58</v>
      </c>
      <c r="H592" t="s">
        <v>615</v>
      </c>
      <c r="I592">
        <v>0</v>
      </c>
      <c r="J592" t="s">
        <v>16</v>
      </c>
    </row>
    <row r="593" spans="1:10" x14ac:dyDescent="0.3">
      <c r="A593" t="s">
        <v>780</v>
      </c>
      <c r="B593" t="s">
        <v>781</v>
      </c>
      <c r="C593" t="s">
        <v>28</v>
      </c>
      <c r="D593">
        <v>3810.15</v>
      </c>
      <c r="E593">
        <v>2</v>
      </c>
      <c r="F593" t="s">
        <v>36</v>
      </c>
      <c r="G593" t="s">
        <v>29</v>
      </c>
      <c r="H593" t="s">
        <v>615</v>
      </c>
      <c r="I593">
        <v>1</v>
      </c>
      <c r="J593" t="s">
        <v>30</v>
      </c>
    </row>
    <row r="594" spans="1:10" x14ac:dyDescent="0.3">
      <c r="A594" t="s">
        <v>782</v>
      </c>
      <c r="B594" t="s">
        <v>783</v>
      </c>
      <c r="C594" t="s">
        <v>23</v>
      </c>
      <c r="D594">
        <v>100.47</v>
      </c>
      <c r="E594">
        <v>38</v>
      </c>
      <c r="F594" t="s">
        <v>36</v>
      </c>
      <c r="G594" t="s">
        <v>14</v>
      </c>
      <c r="H594" t="s">
        <v>615</v>
      </c>
      <c r="I594">
        <v>0</v>
      </c>
      <c r="J594" t="s">
        <v>16</v>
      </c>
    </row>
    <row r="595" spans="1:10" x14ac:dyDescent="0.3">
      <c r="A595" t="s">
        <v>582</v>
      </c>
      <c r="B595" t="s">
        <v>697</v>
      </c>
      <c r="C595" t="s">
        <v>35</v>
      </c>
      <c r="D595">
        <v>4329.95</v>
      </c>
      <c r="E595">
        <v>7</v>
      </c>
      <c r="F595" t="s">
        <v>49</v>
      </c>
      <c r="G595" t="s">
        <v>14</v>
      </c>
      <c r="H595" t="s">
        <v>615</v>
      </c>
      <c r="I595">
        <v>0</v>
      </c>
      <c r="J595" t="s">
        <v>16</v>
      </c>
    </row>
    <row r="596" spans="1:10" x14ac:dyDescent="0.3">
      <c r="A596" t="s">
        <v>784</v>
      </c>
      <c r="B596" t="s">
        <v>785</v>
      </c>
      <c r="C596" t="s">
        <v>35</v>
      </c>
      <c r="D596">
        <v>4478.5600000000004</v>
      </c>
      <c r="E596">
        <v>20</v>
      </c>
      <c r="F596" t="s">
        <v>19</v>
      </c>
      <c r="G596" t="s">
        <v>25</v>
      </c>
      <c r="H596" t="s">
        <v>615</v>
      </c>
      <c r="I596">
        <v>1</v>
      </c>
      <c r="J596" t="s">
        <v>30</v>
      </c>
    </row>
    <row r="597" spans="1:10" x14ac:dyDescent="0.3">
      <c r="A597" t="s">
        <v>786</v>
      </c>
      <c r="B597" t="s">
        <v>787</v>
      </c>
      <c r="C597" t="s">
        <v>28</v>
      </c>
      <c r="D597">
        <v>160.38999999999999</v>
      </c>
      <c r="E597">
        <v>44</v>
      </c>
      <c r="F597" t="s">
        <v>19</v>
      </c>
      <c r="G597" t="s">
        <v>20</v>
      </c>
      <c r="H597" t="s">
        <v>615</v>
      </c>
      <c r="I597">
        <v>1</v>
      </c>
      <c r="J597" t="s">
        <v>30</v>
      </c>
    </row>
    <row r="598" spans="1:10" x14ac:dyDescent="0.3">
      <c r="A598" t="s">
        <v>191</v>
      </c>
      <c r="B598" t="s">
        <v>483</v>
      </c>
      <c r="C598" t="s">
        <v>28</v>
      </c>
      <c r="D598">
        <v>2901.09</v>
      </c>
      <c r="E598">
        <v>45</v>
      </c>
      <c r="F598" t="s">
        <v>13</v>
      </c>
      <c r="G598" t="s">
        <v>25</v>
      </c>
      <c r="H598" t="s">
        <v>615</v>
      </c>
      <c r="I598">
        <v>0</v>
      </c>
      <c r="J598" t="s">
        <v>16</v>
      </c>
    </row>
    <row r="599" spans="1:10" x14ac:dyDescent="0.3">
      <c r="A599" t="s">
        <v>788</v>
      </c>
      <c r="B599" t="s">
        <v>789</v>
      </c>
      <c r="C599" t="s">
        <v>23</v>
      </c>
      <c r="D599">
        <v>652.16</v>
      </c>
      <c r="E599">
        <v>38</v>
      </c>
      <c r="F599" t="s">
        <v>36</v>
      </c>
      <c r="G599" t="s">
        <v>46</v>
      </c>
      <c r="H599" t="s">
        <v>615</v>
      </c>
      <c r="I599">
        <v>1</v>
      </c>
      <c r="J599" t="s">
        <v>30</v>
      </c>
    </row>
    <row r="600" spans="1:10" x14ac:dyDescent="0.3">
      <c r="A600" t="s">
        <v>790</v>
      </c>
      <c r="B600" t="s">
        <v>40</v>
      </c>
      <c r="C600" t="s">
        <v>23</v>
      </c>
      <c r="D600">
        <v>2466.7199999999998</v>
      </c>
      <c r="E600">
        <v>14</v>
      </c>
      <c r="F600" t="s">
        <v>45</v>
      </c>
      <c r="G600" t="s">
        <v>14</v>
      </c>
      <c r="H600" t="s">
        <v>615</v>
      </c>
      <c r="I600">
        <v>0</v>
      </c>
      <c r="J600" t="s">
        <v>16</v>
      </c>
    </row>
    <row r="601" spans="1:10" x14ac:dyDescent="0.3">
      <c r="A601" t="s">
        <v>791</v>
      </c>
      <c r="B601" t="s">
        <v>528</v>
      </c>
      <c r="C601" t="s">
        <v>12</v>
      </c>
      <c r="D601">
        <v>3360.89</v>
      </c>
      <c r="E601">
        <v>44</v>
      </c>
      <c r="F601" t="s">
        <v>36</v>
      </c>
      <c r="G601" t="s">
        <v>14</v>
      </c>
      <c r="H601" t="s">
        <v>615</v>
      </c>
      <c r="I601">
        <v>0</v>
      </c>
      <c r="J601" t="s">
        <v>16</v>
      </c>
    </row>
    <row r="602" spans="1:10" x14ac:dyDescent="0.3">
      <c r="A602" t="s">
        <v>816</v>
      </c>
      <c r="J602">
        <f>SUBTOTAL(103,Transactions[Fraud Label])</f>
        <v>600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F1831-C87F-4D72-A758-409CE4F076FA}">
  <dimension ref="A1:I601"/>
  <sheetViews>
    <sheetView workbookViewId="0"/>
  </sheetViews>
  <sheetFormatPr defaultRowHeight="14.4" x14ac:dyDescent="0.3"/>
  <cols>
    <col min="1" max="1" width="11.109375" bestFit="1" customWidth="1"/>
    <col min="2" max="2" width="11.5546875" bestFit="1" customWidth="1"/>
  </cols>
  <sheetData>
    <row r="1" spans="1:9" x14ac:dyDescent="0.3">
      <c r="A1" t="s">
        <v>0</v>
      </c>
      <c r="B1" t="s">
        <v>1</v>
      </c>
      <c r="C1" t="s">
        <v>2</v>
      </c>
      <c r="D1" t="s">
        <v>3</v>
      </c>
      <c r="E1" t="s">
        <v>4</v>
      </c>
      <c r="F1" t="s">
        <v>5</v>
      </c>
      <c r="G1" t="s">
        <v>6</v>
      </c>
      <c r="H1" t="s">
        <v>7</v>
      </c>
      <c r="I1" t="s">
        <v>8</v>
      </c>
    </row>
    <row r="2" spans="1:9" x14ac:dyDescent="0.3">
      <c r="A2" t="s">
        <v>10</v>
      </c>
      <c r="B2" t="s">
        <v>11</v>
      </c>
      <c r="C2" t="s">
        <v>12</v>
      </c>
      <c r="D2">
        <v>3895.66</v>
      </c>
      <c r="E2">
        <v>37</v>
      </c>
      <c r="F2" t="s">
        <v>13</v>
      </c>
      <c r="G2" t="s">
        <v>14</v>
      </c>
      <c r="H2" t="s">
        <v>15</v>
      </c>
      <c r="I2">
        <v>0</v>
      </c>
    </row>
    <row r="3" spans="1:9" x14ac:dyDescent="0.3">
      <c r="A3" t="s">
        <v>367</v>
      </c>
      <c r="B3" t="s">
        <v>368</v>
      </c>
      <c r="C3" t="s">
        <v>12</v>
      </c>
      <c r="D3">
        <v>2810.42</v>
      </c>
      <c r="E3">
        <v>44</v>
      </c>
      <c r="F3" t="s">
        <v>13</v>
      </c>
      <c r="G3" t="s">
        <v>20</v>
      </c>
      <c r="H3" t="s">
        <v>369</v>
      </c>
      <c r="I3">
        <v>0</v>
      </c>
    </row>
    <row r="4" spans="1:9" x14ac:dyDescent="0.3">
      <c r="A4" t="s">
        <v>17</v>
      </c>
      <c r="B4" t="s">
        <v>18</v>
      </c>
      <c r="C4" t="s">
        <v>12</v>
      </c>
      <c r="D4">
        <v>2485.0300000000002</v>
      </c>
      <c r="E4">
        <v>20</v>
      </c>
      <c r="F4" t="s">
        <v>19</v>
      </c>
      <c r="G4" t="s">
        <v>20</v>
      </c>
      <c r="H4" t="s">
        <v>15</v>
      </c>
      <c r="I4">
        <v>0</v>
      </c>
    </row>
    <row r="5" spans="1:9" x14ac:dyDescent="0.3">
      <c r="A5" t="s">
        <v>221</v>
      </c>
      <c r="B5" t="s">
        <v>370</v>
      </c>
      <c r="C5" t="s">
        <v>35</v>
      </c>
      <c r="D5">
        <v>4412.1099999999997</v>
      </c>
      <c r="E5">
        <v>36</v>
      </c>
      <c r="F5" t="s">
        <v>24</v>
      </c>
      <c r="G5" t="s">
        <v>46</v>
      </c>
      <c r="H5" t="s">
        <v>369</v>
      </c>
      <c r="I5">
        <v>1</v>
      </c>
    </row>
    <row r="6" spans="1:9" x14ac:dyDescent="0.3">
      <c r="A6" t="s">
        <v>371</v>
      </c>
      <c r="B6" t="s">
        <v>278</v>
      </c>
      <c r="C6" t="s">
        <v>12</v>
      </c>
      <c r="D6">
        <v>1344.33</v>
      </c>
      <c r="E6">
        <v>42</v>
      </c>
      <c r="F6" t="s">
        <v>36</v>
      </c>
      <c r="G6" t="s">
        <v>14</v>
      </c>
      <c r="H6" t="s">
        <v>369</v>
      </c>
      <c r="I6">
        <v>1</v>
      </c>
    </row>
    <row r="7" spans="1:9" x14ac:dyDescent="0.3">
      <c r="A7" t="s">
        <v>21</v>
      </c>
      <c r="B7" t="s">
        <v>22</v>
      </c>
      <c r="C7" t="s">
        <v>23</v>
      </c>
      <c r="D7">
        <v>3121.59</v>
      </c>
      <c r="E7">
        <v>29</v>
      </c>
      <c r="F7" t="s">
        <v>24</v>
      </c>
      <c r="G7" t="s">
        <v>25</v>
      </c>
      <c r="H7" t="s">
        <v>15</v>
      </c>
      <c r="I7">
        <v>0</v>
      </c>
    </row>
    <row r="8" spans="1:9" x14ac:dyDescent="0.3">
      <c r="A8" t="s">
        <v>26</v>
      </c>
      <c r="B8" t="s">
        <v>27</v>
      </c>
      <c r="C8" t="s">
        <v>28</v>
      </c>
      <c r="D8">
        <v>3569.24</v>
      </c>
      <c r="E8">
        <v>41</v>
      </c>
      <c r="F8" t="s">
        <v>13</v>
      </c>
      <c r="G8" t="s">
        <v>29</v>
      </c>
      <c r="H8" t="s">
        <v>15</v>
      </c>
      <c r="I8">
        <v>1</v>
      </c>
    </row>
    <row r="9" spans="1:9" x14ac:dyDescent="0.3">
      <c r="A9" t="s">
        <v>279</v>
      </c>
      <c r="B9" t="s">
        <v>614</v>
      </c>
      <c r="C9" t="s">
        <v>35</v>
      </c>
      <c r="D9">
        <v>4830.6400000000003</v>
      </c>
      <c r="E9">
        <v>26</v>
      </c>
      <c r="F9" t="s">
        <v>36</v>
      </c>
      <c r="G9" t="s">
        <v>58</v>
      </c>
      <c r="H9" t="s">
        <v>615</v>
      </c>
      <c r="I9">
        <v>0</v>
      </c>
    </row>
    <row r="10" spans="1:9" x14ac:dyDescent="0.3">
      <c r="A10" t="s">
        <v>407</v>
      </c>
      <c r="B10" t="s">
        <v>616</v>
      </c>
      <c r="C10" t="s">
        <v>28</v>
      </c>
      <c r="D10">
        <v>3478.76</v>
      </c>
      <c r="E10">
        <v>8</v>
      </c>
      <c r="F10" t="s">
        <v>45</v>
      </c>
      <c r="G10" t="s">
        <v>14</v>
      </c>
      <c r="H10" t="s">
        <v>615</v>
      </c>
      <c r="I10">
        <v>0</v>
      </c>
    </row>
    <row r="11" spans="1:9" x14ac:dyDescent="0.3">
      <c r="A11" t="s">
        <v>340</v>
      </c>
      <c r="B11" t="s">
        <v>617</v>
      </c>
      <c r="C11" t="s">
        <v>35</v>
      </c>
      <c r="D11">
        <v>124.1</v>
      </c>
      <c r="E11">
        <v>4</v>
      </c>
      <c r="F11" t="s">
        <v>36</v>
      </c>
      <c r="G11" t="s">
        <v>25</v>
      </c>
      <c r="H11" t="s">
        <v>615</v>
      </c>
      <c r="I11">
        <v>1</v>
      </c>
    </row>
    <row r="12" spans="1:9" x14ac:dyDescent="0.3">
      <c r="A12" t="s">
        <v>31</v>
      </c>
      <c r="B12" t="s">
        <v>32</v>
      </c>
      <c r="C12" t="s">
        <v>12</v>
      </c>
      <c r="D12">
        <v>2811.33</v>
      </c>
      <c r="E12">
        <v>26</v>
      </c>
      <c r="F12" t="s">
        <v>24</v>
      </c>
      <c r="G12" t="s">
        <v>25</v>
      </c>
      <c r="H12" t="s">
        <v>15</v>
      </c>
      <c r="I12">
        <v>1</v>
      </c>
    </row>
    <row r="13" spans="1:9" x14ac:dyDescent="0.3">
      <c r="A13" t="s">
        <v>33</v>
      </c>
      <c r="B13" t="s">
        <v>34</v>
      </c>
      <c r="C13" t="s">
        <v>35</v>
      </c>
      <c r="D13">
        <v>517.91999999999996</v>
      </c>
      <c r="E13">
        <v>31</v>
      </c>
      <c r="F13" t="s">
        <v>36</v>
      </c>
      <c r="G13" t="s">
        <v>20</v>
      </c>
      <c r="H13" t="s">
        <v>15</v>
      </c>
      <c r="I13">
        <v>0</v>
      </c>
    </row>
    <row r="14" spans="1:9" x14ac:dyDescent="0.3">
      <c r="A14" t="s">
        <v>37</v>
      </c>
      <c r="B14" t="s">
        <v>38</v>
      </c>
      <c r="C14" t="s">
        <v>35</v>
      </c>
      <c r="D14">
        <v>3840.21</v>
      </c>
      <c r="E14">
        <v>17</v>
      </c>
      <c r="F14" t="s">
        <v>13</v>
      </c>
      <c r="G14" t="s">
        <v>14</v>
      </c>
      <c r="H14" t="s">
        <v>15</v>
      </c>
      <c r="I14">
        <v>1</v>
      </c>
    </row>
    <row r="15" spans="1:9" x14ac:dyDescent="0.3">
      <c r="A15" t="s">
        <v>535</v>
      </c>
      <c r="B15" t="s">
        <v>618</v>
      </c>
      <c r="C15" t="s">
        <v>12</v>
      </c>
      <c r="D15">
        <v>471.56</v>
      </c>
      <c r="E15">
        <v>17</v>
      </c>
      <c r="F15" t="s">
        <v>45</v>
      </c>
      <c r="G15" t="s">
        <v>46</v>
      </c>
      <c r="H15" t="s">
        <v>615</v>
      </c>
      <c r="I15">
        <v>0</v>
      </c>
    </row>
    <row r="16" spans="1:9" x14ac:dyDescent="0.3">
      <c r="A16" t="s">
        <v>619</v>
      </c>
      <c r="B16" t="s">
        <v>199</v>
      </c>
      <c r="C16" t="s">
        <v>35</v>
      </c>
      <c r="D16">
        <v>964.31</v>
      </c>
      <c r="E16">
        <v>17</v>
      </c>
      <c r="F16" t="s">
        <v>45</v>
      </c>
      <c r="G16" t="s">
        <v>25</v>
      </c>
      <c r="H16" t="s">
        <v>615</v>
      </c>
      <c r="I16">
        <v>0</v>
      </c>
    </row>
    <row r="17" spans="1:9" x14ac:dyDescent="0.3">
      <c r="A17" t="s">
        <v>39</v>
      </c>
      <c r="B17" t="s">
        <v>40</v>
      </c>
      <c r="C17" t="s">
        <v>12</v>
      </c>
      <c r="D17">
        <v>3251.22</v>
      </c>
      <c r="E17">
        <v>43</v>
      </c>
      <c r="F17" t="s">
        <v>24</v>
      </c>
      <c r="G17" t="s">
        <v>29</v>
      </c>
      <c r="H17" t="s">
        <v>15</v>
      </c>
      <c r="I17">
        <v>1</v>
      </c>
    </row>
    <row r="18" spans="1:9" x14ac:dyDescent="0.3">
      <c r="A18" t="s">
        <v>372</v>
      </c>
      <c r="B18" t="s">
        <v>373</v>
      </c>
      <c r="C18" t="s">
        <v>35</v>
      </c>
      <c r="D18">
        <v>734.06</v>
      </c>
      <c r="E18">
        <v>2</v>
      </c>
      <c r="F18" t="s">
        <v>36</v>
      </c>
      <c r="G18" t="s">
        <v>20</v>
      </c>
      <c r="H18" t="s">
        <v>369</v>
      </c>
      <c r="I18">
        <v>1</v>
      </c>
    </row>
    <row r="19" spans="1:9" x14ac:dyDescent="0.3">
      <c r="A19" t="s">
        <v>355</v>
      </c>
      <c r="B19" t="s">
        <v>374</v>
      </c>
      <c r="C19" t="s">
        <v>12</v>
      </c>
      <c r="D19">
        <v>817.84</v>
      </c>
      <c r="E19">
        <v>6</v>
      </c>
      <c r="F19" t="s">
        <v>24</v>
      </c>
      <c r="G19" t="s">
        <v>46</v>
      </c>
      <c r="H19" t="s">
        <v>369</v>
      </c>
      <c r="I19">
        <v>0</v>
      </c>
    </row>
    <row r="20" spans="1:9" x14ac:dyDescent="0.3">
      <c r="A20" t="s">
        <v>41</v>
      </c>
      <c r="B20" t="s">
        <v>42</v>
      </c>
      <c r="C20" t="s">
        <v>23</v>
      </c>
      <c r="D20">
        <v>1246.25</v>
      </c>
      <c r="E20">
        <v>5</v>
      </c>
      <c r="F20" t="s">
        <v>24</v>
      </c>
      <c r="G20" t="s">
        <v>25</v>
      </c>
      <c r="H20" t="s">
        <v>15</v>
      </c>
      <c r="I20">
        <v>0</v>
      </c>
    </row>
    <row r="21" spans="1:9" x14ac:dyDescent="0.3">
      <c r="A21" t="s">
        <v>375</v>
      </c>
      <c r="B21" t="s">
        <v>376</v>
      </c>
      <c r="C21" t="s">
        <v>28</v>
      </c>
      <c r="D21">
        <v>4612.83</v>
      </c>
      <c r="E21">
        <v>24</v>
      </c>
      <c r="F21" t="s">
        <v>49</v>
      </c>
      <c r="G21" t="s">
        <v>46</v>
      </c>
      <c r="H21" t="s">
        <v>369</v>
      </c>
      <c r="I21">
        <v>1</v>
      </c>
    </row>
    <row r="22" spans="1:9" x14ac:dyDescent="0.3">
      <c r="A22" t="s">
        <v>37</v>
      </c>
      <c r="B22" t="s">
        <v>377</v>
      </c>
      <c r="C22" t="s">
        <v>12</v>
      </c>
      <c r="D22">
        <v>4216.22</v>
      </c>
      <c r="E22">
        <v>20</v>
      </c>
      <c r="F22" t="s">
        <v>19</v>
      </c>
      <c r="G22" t="s">
        <v>58</v>
      </c>
      <c r="H22" t="s">
        <v>369</v>
      </c>
      <c r="I22">
        <v>0</v>
      </c>
    </row>
    <row r="23" spans="1:9" x14ac:dyDescent="0.3">
      <c r="A23" t="s">
        <v>101</v>
      </c>
      <c r="B23" t="s">
        <v>378</v>
      </c>
      <c r="C23" t="s">
        <v>12</v>
      </c>
      <c r="D23">
        <v>878.44</v>
      </c>
      <c r="E23">
        <v>2</v>
      </c>
      <c r="F23" t="s">
        <v>24</v>
      </c>
      <c r="G23" t="s">
        <v>29</v>
      </c>
      <c r="H23" t="s">
        <v>369</v>
      </c>
      <c r="I23">
        <v>1</v>
      </c>
    </row>
    <row r="24" spans="1:9" x14ac:dyDescent="0.3">
      <c r="A24" t="s">
        <v>43</v>
      </c>
      <c r="B24" t="s">
        <v>44</v>
      </c>
      <c r="C24" t="s">
        <v>12</v>
      </c>
      <c r="D24">
        <v>2380.3000000000002</v>
      </c>
      <c r="E24">
        <v>6</v>
      </c>
      <c r="F24" t="s">
        <v>45</v>
      </c>
      <c r="G24" t="s">
        <v>46</v>
      </c>
      <c r="H24" t="s">
        <v>15</v>
      </c>
      <c r="I24">
        <v>0</v>
      </c>
    </row>
    <row r="25" spans="1:9" x14ac:dyDescent="0.3">
      <c r="A25" t="s">
        <v>47</v>
      </c>
      <c r="B25" t="s">
        <v>48</v>
      </c>
      <c r="C25" t="s">
        <v>23</v>
      </c>
      <c r="D25">
        <v>1680.59</v>
      </c>
      <c r="E25">
        <v>15</v>
      </c>
      <c r="F25" t="s">
        <v>49</v>
      </c>
      <c r="G25" t="s">
        <v>46</v>
      </c>
      <c r="H25" t="s">
        <v>15</v>
      </c>
      <c r="I25">
        <v>0</v>
      </c>
    </row>
    <row r="26" spans="1:9" x14ac:dyDescent="0.3">
      <c r="A26" t="s">
        <v>242</v>
      </c>
      <c r="B26" t="s">
        <v>620</v>
      </c>
      <c r="C26" t="s">
        <v>35</v>
      </c>
      <c r="D26">
        <v>1089.75</v>
      </c>
      <c r="E26">
        <v>6</v>
      </c>
      <c r="F26" t="s">
        <v>45</v>
      </c>
      <c r="G26" t="s">
        <v>25</v>
      </c>
      <c r="H26" t="s">
        <v>615</v>
      </c>
      <c r="I26">
        <v>0</v>
      </c>
    </row>
    <row r="27" spans="1:9" x14ac:dyDescent="0.3">
      <c r="A27" t="s">
        <v>302</v>
      </c>
      <c r="B27" t="s">
        <v>379</v>
      </c>
      <c r="C27" t="s">
        <v>12</v>
      </c>
      <c r="D27">
        <v>551.35</v>
      </c>
      <c r="E27">
        <v>29</v>
      </c>
      <c r="F27" t="s">
        <v>36</v>
      </c>
      <c r="G27" t="s">
        <v>29</v>
      </c>
      <c r="H27" t="s">
        <v>369</v>
      </c>
      <c r="I27">
        <v>1</v>
      </c>
    </row>
    <row r="28" spans="1:9" x14ac:dyDescent="0.3">
      <c r="A28" t="s">
        <v>50</v>
      </c>
      <c r="B28" t="s">
        <v>51</v>
      </c>
      <c r="C28" t="s">
        <v>12</v>
      </c>
      <c r="D28">
        <v>4229.63</v>
      </c>
      <c r="E28">
        <v>20</v>
      </c>
      <c r="F28" t="s">
        <v>24</v>
      </c>
      <c r="G28" t="s">
        <v>25</v>
      </c>
      <c r="H28" t="s">
        <v>15</v>
      </c>
      <c r="I28">
        <v>1</v>
      </c>
    </row>
    <row r="29" spans="1:9" x14ac:dyDescent="0.3">
      <c r="A29" t="s">
        <v>359</v>
      </c>
      <c r="B29" t="s">
        <v>621</v>
      </c>
      <c r="C29" t="s">
        <v>23</v>
      </c>
      <c r="D29">
        <v>2278.7399999999998</v>
      </c>
      <c r="E29">
        <v>2</v>
      </c>
      <c r="F29" t="s">
        <v>49</v>
      </c>
      <c r="G29" t="s">
        <v>20</v>
      </c>
      <c r="H29" t="s">
        <v>615</v>
      </c>
      <c r="I29">
        <v>0</v>
      </c>
    </row>
    <row r="30" spans="1:9" x14ac:dyDescent="0.3">
      <c r="A30" t="s">
        <v>52</v>
      </c>
      <c r="B30" t="s">
        <v>53</v>
      </c>
      <c r="C30" t="s">
        <v>23</v>
      </c>
      <c r="D30">
        <v>2274.63</v>
      </c>
      <c r="E30">
        <v>13</v>
      </c>
      <c r="F30" t="s">
        <v>24</v>
      </c>
      <c r="G30" t="s">
        <v>46</v>
      </c>
      <c r="H30" t="s">
        <v>15</v>
      </c>
      <c r="I30">
        <v>1</v>
      </c>
    </row>
    <row r="31" spans="1:9" x14ac:dyDescent="0.3">
      <c r="A31" t="s">
        <v>622</v>
      </c>
      <c r="B31" t="s">
        <v>621</v>
      </c>
      <c r="C31" t="s">
        <v>12</v>
      </c>
      <c r="D31">
        <v>2690.04</v>
      </c>
      <c r="E31">
        <v>45</v>
      </c>
      <c r="F31" t="s">
        <v>36</v>
      </c>
      <c r="G31" t="s">
        <v>46</v>
      </c>
      <c r="H31" t="s">
        <v>615</v>
      </c>
      <c r="I31">
        <v>1</v>
      </c>
    </row>
    <row r="32" spans="1:9" x14ac:dyDescent="0.3">
      <c r="A32" t="s">
        <v>196</v>
      </c>
      <c r="B32" t="s">
        <v>380</v>
      </c>
      <c r="C32" t="s">
        <v>35</v>
      </c>
      <c r="D32">
        <v>2822.78</v>
      </c>
      <c r="E32">
        <v>38</v>
      </c>
      <c r="F32" t="s">
        <v>36</v>
      </c>
      <c r="G32" t="s">
        <v>58</v>
      </c>
      <c r="H32" t="s">
        <v>369</v>
      </c>
      <c r="I32">
        <v>1</v>
      </c>
    </row>
    <row r="33" spans="1:9" x14ac:dyDescent="0.3">
      <c r="A33" t="s">
        <v>54</v>
      </c>
      <c r="B33" t="s">
        <v>55</v>
      </c>
      <c r="C33" t="s">
        <v>28</v>
      </c>
      <c r="D33">
        <v>3654.55</v>
      </c>
      <c r="E33">
        <v>7</v>
      </c>
      <c r="F33" t="s">
        <v>19</v>
      </c>
      <c r="G33" t="s">
        <v>20</v>
      </c>
      <c r="H33" t="s">
        <v>15</v>
      </c>
      <c r="I33">
        <v>1</v>
      </c>
    </row>
    <row r="34" spans="1:9" x14ac:dyDescent="0.3">
      <c r="A34" t="s">
        <v>623</v>
      </c>
      <c r="B34" t="s">
        <v>203</v>
      </c>
      <c r="C34" t="s">
        <v>28</v>
      </c>
      <c r="D34">
        <v>26.11</v>
      </c>
      <c r="E34">
        <v>36</v>
      </c>
      <c r="F34" t="s">
        <v>19</v>
      </c>
      <c r="G34" t="s">
        <v>29</v>
      </c>
      <c r="H34" t="s">
        <v>615</v>
      </c>
      <c r="I34">
        <v>1</v>
      </c>
    </row>
    <row r="35" spans="1:9" x14ac:dyDescent="0.3">
      <c r="A35" t="s">
        <v>56</v>
      </c>
      <c r="B35" t="s">
        <v>57</v>
      </c>
      <c r="C35" t="s">
        <v>28</v>
      </c>
      <c r="D35">
        <v>4917.75</v>
      </c>
      <c r="E35">
        <v>4</v>
      </c>
      <c r="F35" t="s">
        <v>45</v>
      </c>
      <c r="G35" t="s">
        <v>58</v>
      </c>
      <c r="H35" t="s">
        <v>15</v>
      </c>
      <c r="I35">
        <v>1</v>
      </c>
    </row>
    <row r="36" spans="1:9" x14ac:dyDescent="0.3">
      <c r="A36" t="s">
        <v>180</v>
      </c>
      <c r="B36" t="s">
        <v>381</v>
      </c>
      <c r="C36" t="s">
        <v>35</v>
      </c>
      <c r="D36">
        <v>590.82000000000005</v>
      </c>
      <c r="E36">
        <v>30</v>
      </c>
      <c r="F36" t="s">
        <v>49</v>
      </c>
      <c r="G36" t="s">
        <v>25</v>
      </c>
      <c r="H36" t="s">
        <v>369</v>
      </c>
      <c r="I36">
        <v>0</v>
      </c>
    </row>
    <row r="37" spans="1:9" x14ac:dyDescent="0.3">
      <c r="A37" t="s">
        <v>624</v>
      </c>
      <c r="B37" t="s">
        <v>625</v>
      </c>
      <c r="C37" t="s">
        <v>28</v>
      </c>
      <c r="D37">
        <v>248.47</v>
      </c>
      <c r="E37">
        <v>38</v>
      </c>
      <c r="F37" t="s">
        <v>19</v>
      </c>
      <c r="G37" t="s">
        <v>25</v>
      </c>
      <c r="H37" t="s">
        <v>615</v>
      </c>
      <c r="I37">
        <v>0</v>
      </c>
    </row>
    <row r="38" spans="1:9" x14ac:dyDescent="0.3">
      <c r="A38" t="s">
        <v>382</v>
      </c>
      <c r="B38" t="s">
        <v>61</v>
      </c>
      <c r="C38" t="s">
        <v>28</v>
      </c>
      <c r="D38">
        <v>2184.11</v>
      </c>
      <c r="E38">
        <v>20</v>
      </c>
      <c r="F38" t="s">
        <v>36</v>
      </c>
      <c r="G38" t="s">
        <v>14</v>
      </c>
      <c r="H38" t="s">
        <v>369</v>
      </c>
      <c r="I38">
        <v>1</v>
      </c>
    </row>
    <row r="39" spans="1:9" x14ac:dyDescent="0.3">
      <c r="A39" t="s">
        <v>54</v>
      </c>
      <c r="B39" t="s">
        <v>201</v>
      </c>
      <c r="C39" t="s">
        <v>23</v>
      </c>
      <c r="D39">
        <v>1590.71</v>
      </c>
      <c r="E39">
        <v>47</v>
      </c>
      <c r="F39" t="s">
        <v>45</v>
      </c>
      <c r="G39" t="s">
        <v>25</v>
      </c>
      <c r="H39" t="s">
        <v>369</v>
      </c>
      <c r="I39">
        <v>0</v>
      </c>
    </row>
    <row r="40" spans="1:9" x14ac:dyDescent="0.3">
      <c r="A40" t="s">
        <v>283</v>
      </c>
      <c r="B40" t="s">
        <v>383</v>
      </c>
      <c r="C40" t="s">
        <v>23</v>
      </c>
      <c r="D40">
        <v>3978.42</v>
      </c>
      <c r="E40">
        <v>11</v>
      </c>
      <c r="F40" t="s">
        <v>45</v>
      </c>
      <c r="G40" t="s">
        <v>14</v>
      </c>
      <c r="H40" t="s">
        <v>369</v>
      </c>
      <c r="I40">
        <v>1</v>
      </c>
    </row>
    <row r="41" spans="1:9" x14ac:dyDescent="0.3">
      <c r="A41" t="s">
        <v>59</v>
      </c>
      <c r="B41" t="s">
        <v>18</v>
      </c>
      <c r="C41" t="s">
        <v>12</v>
      </c>
      <c r="D41">
        <v>3813.95</v>
      </c>
      <c r="E41">
        <v>20</v>
      </c>
      <c r="F41" t="s">
        <v>13</v>
      </c>
      <c r="G41" t="s">
        <v>58</v>
      </c>
      <c r="H41" t="s">
        <v>15</v>
      </c>
      <c r="I41">
        <v>1</v>
      </c>
    </row>
    <row r="42" spans="1:9" x14ac:dyDescent="0.3">
      <c r="A42" t="s">
        <v>60</v>
      </c>
      <c r="B42" t="s">
        <v>61</v>
      </c>
      <c r="C42" t="s">
        <v>12</v>
      </c>
      <c r="D42">
        <v>914.19</v>
      </c>
      <c r="E42">
        <v>31</v>
      </c>
      <c r="F42" t="s">
        <v>49</v>
      </c>
      <c r="G42" t="s">
        <v>29</v>
      </c>
      <c r="H42" t="s">
        <v>15</v>
      </c>
      <c r="I42">
        <v>1</v>
      </c>
    </row>
    <row r="43" spans="1:9" x14ac:dyDescent="0.3">
      <c r="A43" t="s">
        <v>62</v>
      </c>
      <c r="B43" t="s">
        <v>63</v>
      </c>
      <c r="C43" t="s">
        <v>28</v>
      </c>
      <c r="D43">
        <v>3459.12</v>
      </c>
      <c r="E43">
        <v>43</v>
      </c>
      <c r="F43" t="s">
        <v>45</v>
      </c>
      <c r="G43" t="s">
        <v>25</v>
      </c>
      <c r="H43" t="s">
        <v>15</v>
      </c>
      <c r="I43">
        <v>1</v>
      </c>
    </row>
    <row r="44" spans="1:9" x14ac:dyDescent="0.3">
      <c r="A44" t="s">
        <v>626</v>
      </c>
      <c r="B44" t="s">
        <v>627</v>
      </c>
      <c r="C44" t="s">
        <v>23</v>
      </c>
      <c r="D44">
        <v>3841.97</v>
      </c>
      <c r="E44">
        <v>34</v>
      </c>
      <c r="F44" t="s">
        <v>45</v>
      </c>
      <c r="G44" t="s">
        <v>29</v>
      </c>
      <c r="H44" t="s">
        <v>615</v>
      </c>
      <c r="I44">
        <v>0</v>
      </c>
    </row>
    <row r="45" spans="1:9" x14ac:dyDescent="0.3">
      <c r="A45" t="s">
        <v>384</v>
      </c>
      <c r="B45" t="s">
        <v>18</v>
      </c>
      <c r="C45" t="s">
        <v>23</v>
      </c>
      <c r="D45">
        <v>2594.2600000000002</v>
      </c>
      <c r="E45">
        <v>17</v>
      </c>
      <c r="F45" t="s">
        <v>36</v>
      </c>
      <c r="G45" t="s">
        <v>46</v>
      </c>
      <c r="H45" t="s">
        <v>369</v>
      </c>
      <c r="I45">
        <v>0</v>
      </c>
    </row>
    <row r="46" spans="1:9" x14ac:dyDescent="0.3">
      <c r="A46" t="s">
        <v>64</v>
      </c>
      <c r="B46" t="s">
        <v>65</v>
      </c>
      <c r="C46" t="s">
        <v>35</v>
      </c>
      <c r="D46">
        <v>1752.45</v>
      </c>
      <c r="E46">
        <v>42</v>
      </c>
      <c r="F46" t="s">
        <v>49</v>
      </c>
      <c r="G46" t="s">
        <v>14</v>
      </c>
      <c r="H46" t="s">
        <v>15</v>
      </c>
      <c r="I46">
        <v>1</v>
      </c>
    </row>
    <row r="47" spans="1:9" x14ac:dyDescent="0.3">
      <c r="A47" t="s">
        <v>66</v>
      </c>
      <c r="B47" t="s">
        <v>67</v>
      </c>
      <c r="C47" t="s">
        <v>23</v>
      </c>
      <c r="D47">
        <v>613</v>
      </c>
      <c r="E47">
        <v>18</v>
      </c>
      <c r="F47" t="s">
        <v>24</v>
      </c>
      <c r="G47" t="s">
        <v>46</v>
      </c>
      <c r="H47" t="s">
        <v>15</v>
      </c>
      <c r="I47">
        <v>1</v>
      </c>
    </row>
    <row r="48" spans="1:9" x14ac:dyDescent="0.3">
      <c r="A48" t="s">
        <v>228</v>
      </c>
      <c r="B48" t="s">
        <v>291</v>
      </c>
      <c r="C48" t="s">
        <v>28</v>
      </c>
      <c r="D48">
        <v>4229.04</v>
      </c>
      <c r="E48">
        <v>9</v>
      </c>
      <c r="F48" t="s">
        <v>49</v>
      </c>
      <c r="G48" t="s">
        <v>20</v>
      </c>
      <c r="H48" t="s">
        <v>369</v>
      </c>
      <c r="I48">
        <v>1</v>
      </c>
    </row>
    <row r="49" spans="1:9" x14ac:dyDescent="0.3">
      <c r="A49" t="s">
        <v>117</v>
      </c>
      <c r="B49" t="s">
        <v>385</v>
      </c>
      <c r="C49" t="s">
        <v>28</v>
      </c>
      <c r="D49">
        <v>673.57</v>
      </c>
      <c r="E49">
        <v>22</v>
      </c>
      <c r="F49" t="s">
        <v>36</v>
      </c>
      <c r="G49" t="s">
        <v>14</v>
      </c>
      <c r="H49" t="s">
        <v>369</v>
      </c>
      <c r="I49">
        <v>0</v>
      </c>
    </row>
    <row r="50" spans="1:9" x14ac:dyDescent="0.3">
      <c r="A50" t="s">
        <v>628</v>
      </c>
      <c r="B50" t="s">
        <v>629</v>
      </c>
      <c r="C50" t="s">
        <v>12</v>
      </c>
      <c r="D50">
        <v>1562.69</v>
      </c>
      <c r="E50">
        <v>3</v>
      </c>
      <c r="F50" t="s">
        <v>24</v>
      </c>
      <c r="G50" t="s">
        <v>25</v>
      </c>
      <c r="H50" t="s">
        <v>615</v>
      </c>
      <c r="I50">
        <v>0</v>
      </c>
    </row>
    <row r="51" spans="1:9" x14ac:dyDescent="0.3">
      <c r="A51" t="s">
        <v>630</v>
      </c>
      <c r="B51" t="s">
        <v>631</v>
      </c>
      <c r="C51" t="s">
        <v>35</v>
      </c>
      <c r="D51">
        <v>2588.33</v>
      </c>
      <c r="E51">
        <v>29</v>
      </c>
      <c r="F51" t="s">
        <v>19</v>
      </c>
      <c r="G51" t="s">
        <v>46</v>
      </c>
      <c r="H51" t="s">
        <v>615</v>
      </c>
      <c r="I51">
        <v>1</v>
      </c>
    </row>
    <row r="52" spans="1:9" x14ac:dyDescent="0.3">
      <c r="A52" t="s">
        <v>632</v>
      </c>
      <c r="B52" t="s">
        <v>379</v>
      </c>
      <c r="C52" t="s">
        <v>28</v>
      </c>
      <c r="D52">
        <v>4434.96</v>
      </c>
      <c r="E52">
        <v>29</v>
      </c>
      <c r="F52" t="s">
        <v>13</v>
      </c>
      <c r="G52" t="s">
        <v>46</v>
      </c>
      <c r="H52" t="s">
        <v>615</v>
      </c>
      <c r="I52">
        <v>0</v>
      </c>
    </row>
    <row r="53" spans="1:9" x14ac:dyDescent="0.3">
      <c r="A53" t="s">
        <v>68</v>
      </c>
      <c r="B53" t="s">
        <v>69</v>
      </c>
      <c r="C53" t="s">
        <v>28</v>
      </c>
      <c r="D53">
        <v>2804.13</v>
      </c>
      <c r="E53">
        <v>8</v>
      </c>
      <c r="F53" t="s">
        <v>24</v>
      </c>
      <c r="G53" t="s">
        <v>46</v>
      </c>
      <c r="H53" t="s">
        <v>15</v>
      </c>
      <c r="I53">
        <v>0</v>
      </c>
    </row>
    <row r="54" spans="1:9" x14ac:dyDescent="0.3">
      <c r="A54" t="s">
        <v>66</v>
      </c>
      <c r="B54" t="s">
        <v>199</v>
      </c>
      <c r="C54" t="s">
        <v>28</v>
      </c>
      <c r="D54">
        <v>1378.57</v>
      </c>
      <c r="E54">
        <v>6</v>
      </c>
      <c r="F54" t="s">
        <v>49</v>
      </c>
      <c r="G54" t="s">
        <v>25</v>
      </c>
      <c r="H54" t="s">
        <v>615</v>
      </c>
      <c r="I54">
        <v>0</v>
      </c>
    </row>
    <row r="55" spans="1:9" x14ac:dyDescent="0.3">
      <c r="A55" t="s">
        <v>505</v>
      </c>
      <c r="B55" t="s">
        <v>392</v>
      </c>
      <c r="C55" t="s">
        <v>28</v>
      </c>
      <c r="D55">
        <v>1506.98</v>
      </c>
      <c r="E55">
        <v>13</v>
      </c>
      <c r="F55" t="s">
        <v>19</v>
      </c>
      <c r="G55" t="s">
        <v>20</v>
      </c>
      <c r="H55" t="s">
        <v>615</v>
      </c>
      <c r="I55">
        <v>1</v>
      </c>
    </row>
    <row r="56" spans="1:9" x14ac:dyDescent="0.3">
      <c r="A56" t="s">
        <v>70</v>
      </c>
      <c r="B56" t="s">
        <v>71</v>
      </c>
      <c r="C56" t="s">
        <v>12</v>
      </c>
      <c r="D56">
        <v>936</v>
      </c>
      <c r="E56">
        <v>44</v>
      </c>
      <c r="F56" t="s">
        <v>36</v>
      </c>
      <c r="G56" t="s">
        <v>25</v>
      </c>
      <c r="H56" t="s">
        <v>15</v>
      </c>
      <c r="I56">
        <v>0</v>
      </c>
    </row>
    <row r="57" spans="1:9" x14ac:dyDescent="0.3">
      <c r="A57" t="s">
        <v>72</v>
      </c>
      <c r="B57" t="s">
        <v>73</v>
      </c>
      <c r="C57" t="s">
        <v>35</v>
      </c>
      <c r="D57">
        <v>4402.92</v>
      </c>
      <c r="E57">
        <v>46</v>
      </c>
      <c r="F57" t="s">
        <v>24</v>
      </c>
      <c r="G57" t="s">
        <v>58</v>
      </c>
      <c r="H57" t="s">
        <v>15</v>
      </c>
      <c r="I57">
        <v>1</v>
      </c>
    </row>
    <row r="58" spans="1:9" x14ac:dyDescent="0.3">
      <c r="A58" t="s">
        <v>592</v>
      </c>
      <c r="B58" t="s">
        <v>438</v>
      </c>
      <c r="C58" t="s">
        <v>12</v>
      </c>
      <c r="D58">
        <v>3161.42</v>
      </c>
      <c r="E58">
        <v>21</v>
      </c>
      <c r="F58" t="s">
        <v>45</v>
      </c>
      <c r="G58" t="s">
        <v>14</v>
      </c>
      <c r="H58" t="s">
        <v>615</v>
      </c>
      <c r="I58">
        <v>0</v>
      </c>
    </row>
    <row r="59" spans="1:9" x14ac:dyDescent="0.3">
      <c r="A59" t="s">
        <v>633</v>
      </c>
      <c r="B59" t="s">
        <v>575</v>
      </c>
      <c r="C59" t="s">
        <v>12</v>
      </c>
      <c r="D59">
        <v>4039.09</v>
      </c>
      <c r="E59">
        <v>4</v>
      </c>
      <c r="F59" t="s">
        <v>13</v>
      </c>
      <c r="G59" t="s">
        <v>46</v>
      </c>
      <c r="H59" t="s">
        <v>615</v>
      </c>
      <c r="I59">
        <v>0</v>
      </c>
    </row>
    <row r="60" spans="1:9" x14ac:dyDescent="0.3">
      <c r="A60" t="s">
        <v>415</v>
      </c>
      <c r="B60" t="s">
        <v>634</v>
      </c>
      <c r="C60" t="s">
        <v>28</v>
      </c>
      <c r="D60">
        <v>496.53</v>
      </c>
      <c r="E60">
        <v>32</v>
      </c>
      <c r="F60" t="s">
        <v>13</v>
      </c>
      <c r="G60" t="s">
        <v>46</v>
      </c>
      <c r="H60" t="s">
        <v>615</v>
      </c>
      <c r="I60">
        <v>0</v>
      </c>
    </row>
    <row r="61" spans="1:9" x14ac:dyDescent="0.3">
      <c r="A61" t="s">
        <v>97</v>
      </c>
      <c r="B61" t="s">
        <v>635</v>
      </c>
      <c r="C61" t="s">
        <v>23</v>
      </c>
      <c r="D61">
        <v>2453.69</v>
      </c>
      <c r="E61">
        <v>25</v>
      </c>
      <c r="F61" t="s">
        <v>36</v>
      </c>
      <c r="G61" t="s">
        <v>46</v>
      </c>
      <c r="H61" t="s">
        <v>615</v>
      </c>
      <c r="I61">
        <v>1</v>
      </c>
    </row>
    <row r="62" spans="1:9" x14ac:dyDescent="0.3">
      <c r="A62" t="s">
        <v>74</v>
      </c>
      <c r="B62" t="s">
        <v>75</v>
      </c>
      <c r="C62" t="s">
        <v>12</v>
      </c>
      <c r="D62">
        <v>874.03</v>
      </c>
      <c r="E62">
        <v>34</v>
      </c>
      <c r="F62" t="s">
        <v>19</v>
      </c>
      <c r="G62" t="s">
        <v>14</v>
      </c>
      <c r="H62" t="s">
        <v>15</v>
      </c>
      <c r="I62">
        <v>0</v>
      </c>
    </row>
    <row r="63" spans="1:9" x14ac:dyDescent="0.3">
      <c r="A63" t="s">
        <v>386</v>
      </c>
      <c r="B63" t="s">
        <v>387</v>
      </c>
      <c r="C63" t="s">
        <v>35</v>
      </c>
      <c r="D63">
        <v>2378.48</v>
      </c>
      <c r="E63">
        <v>10</v>
      </c>
      <c r="F63" t="s">
        <v>36</v>
      </c>
      <c r="G63" t="s">
        <v>14</v>
      </c>
      <c r="H63" t="s">
        <v>369</v>
      </c>
      <c r="I63">
        <v>1</v>
      </c>
    </row>
    <row r="64" spans="1:9" x14ac:dyDescent="0.3">
      <c r="A64" t="s">
        <v>388</v>
      </c>
      <c r="B64" t="s">
        <v>389</v>
      </c>
      <c r="C64" t="s">
        <v>23</v>
      </c>
      <c r="D64">
        <v>143.41</v>
      </c>
      <c r="E64">
        <v>21</v>
      </c>
      <c r="F64" t="s">
        <v>36</v>
      </c>
      <c r="G64" t="s">
        <v>25</v>
      </c>
      <c r="H64" t="s">
        <v>369</v>
      </c>
      <c r="I64">
        <v>0</v>
      </c>
    </row>
    <row r="65" spans="1:9" x14ac:dyDescent="0.3">
      <c r="A65" t="s">
        <v>76</v>
      </c>
      <c r="B65" t="s">
        <v>77</v>
      </c>
      <c r="C65" t="s">
        <v>35</v>
      </c>
      <c r="D65">
        <v>4786.51</v>
      </c>
      <c r="E65">
        <v>11</v>
      </c>
      <c r="F65" t="s">
        <v>24</v>
      </c>
      <c r="G65" t="s">
        <v>58</v>
      </c>
      <c r="H65" t="s">
        <v>15</v>
      </c>
      <c r="I65">
        <v>1</v>
      </c>
    </row>
    <row r="66" spans="1:9" x14ac:dyDescent="0.3">
      <c r="A66" t="s">
        <v>78</v>
      </c>
      <c r="B66" t="s">
        <v>79</v>
      </c>
      <c r="C66" t="s">
        <v>35</v>
      </c>
      <c r="D66">
        <v>4018.72</v>
      </c>
      <c r="E66">
        <v>27</v>
      </c>
      <c r="F66" t="s">
        <v>36</v>
      </c>
      <c r="G66" t="s">
        <v>58</v>
      </c>
      <c r="H66" t="s">
        <v>15</v>
      </c>
      <c r="I66">
        <v>1</v>
      </c>
    </row>
    <row r="67" spans="1:9" x14ac:dyDescent="0.3">
      <c r="A67" t="s">
        <v>390</v>
      </c>
      <c r="B67" t="s">
        <v>94</v>
      </c>
      <c r="C67" t="s">
        <v>35</v>
      </c>
      <c r="D67">
        <v>4665.08</v>
      </c>
      <c r="E67">
        <v>34</v>
      </c>
      <c r="F67" t="s">
        <v>13</v>
      </c>
      <c r="G67" t="s">
        <v>25</v>
      </c>
      <c r="H67" t="s">
        <v>369</v>
      </c>
      <c r="I67">
        <v>0</v>
      </c>
    </row>
    <row r="68" spans="1:9" x14ac:dyDescent="0.3">
      <c r="A68" t="s">
        <v>41</v>
      </c>
      <c r="B68" t="s">
        <v>636</v>
      </c>
      <c r="C68" t="s">
        <v>35</v>
      </c>
      <c r="D68">
        <v>276.88</v>
      </c>
      <c r="E68">
        <v>43</v>
      </c>
      <c r="F68" t="s">
        <v>45</v>
      </c>
      <c r="G68" t="s">
        <v>46</v>
      </c>
      <c r="H68" t="s">
        <v>615</v>
      </c>
      <c r="I68">
        <v>0</v>
      </c>
    </row>
    <row r="69" spans="1:9" x14ac:dyDescent="0.3">
      <c r="A69" t="s">
        <v>637</v>
      </c>
      <c r="B69" t="s">
        <v>158</v>
      </c>
      <c r="C69" t="s">
        <v>28</v>
      </c>
      <c r="D69">
        <v>3673.05</v>
      </c>
      <c r="E69">
        <v>34</v>
      </c>
      <c r="F69" t="s">
        <v>13</v>
      </c>
      <c r="G69" t="s">
        <v>14</v>
      </c>
      <c r="H69" t="s">
        <v>615</v>
      </c>
      <c r="I69">
        <v>0</v>
      </c>
    </row>
    <row r="70" spans="1:9" x14ac:dyDescent="0.3">
      <c r="A70" t="s">
        <v>80</v>
      </c>
      <c r="B70" t="s">
        <v>81</v>
      </c>
      <c r="C70" t="s">
        <v>28</v>
      </c>
      <c r="D70">
        <v>837.78</v>
      </c>
      <c r="E70">
        <v>40</v>
      </c>
      <c r="F70" t="s">
        <v>36</v>
      </c>
      <c r="G70" t="s">
        <v>46</v>
      </c>
      <c r="H70" t="s">
        <v>15</v>
      </c>
      <c r="I70">
        <v>0</v>
      </c>
    </row>
    <row r="71" spans="1:9" x14ac:dyDescent="0.3">
      <c r="A71" t="s">
        <v>223</v>
      </c>
      <c r="B71" t="s">
        <v>51</v>
      </c>
      <c r="C71" t="s">
        <v>35</v>
      </c>
      <c r="D71">
        <v>2522.09</v>
      </c>
      <c r="E71">
        <v>43</v>
      </c>
      <c r="F71" t="s">
        <v>13</v>
      </c>
      <c r="G71" t="s">
        <v>29</v>
      </c>
      <c r="H71" t="s">
        <v>615</v>
      </c>
      <c r="I71">
        <v>0</v>
      </c>
    </row>
    <row r="72" spans="1:9" x14ac:dyDescent="0.3">
      <c r="A72" t="s">
        <v>391</v>
      </c>
      <c r="B72" t="s">
        <v>392</v>
      </c>
      <c r="C72" t="s">
        <v>28</v>
      </c>
      <c r="D72">
        <v>3481.65</v>
      </c>
      <c r="E72">
        <v>47</v>
      </c>
      <c r="F72" t="s">
        <v>49</v>
      </c>
      <c r="G72" t="s">
        <v>58</v>
      </c>
      <c r="H72" t="s">
        <v>369</v>
      </c>
      <c r="I72">
        <v>0</v>
      </c>
    </row>
    <row r="73" spans="1:9" x14ac:dyDescent="0.3">
      <c r="A73" t="s">
        <v>393</v>
      </c>
      <c r="B73" t="s">
        <v>385</v>
      </c>
      <c r="C73" t="s">
        <v>12</v>
      </c>
      <c r="D73">
        <v>2706.84</v>
      </c>
      <c r="E73">
        <v>46</v>
      </c>
      <c r="F73" t="s">
        <v>49</v>
      </c>
      <c r="G73" t="s">
        <v>25</v>
      </c>
      <c r="H73" t="s">
        <v>369</v>
      </c>
      <c r="I73">
        <v>1</v>
      </c>
    </row>
    <row r="74" spans="1:9" x14ac:dyDescent="0.3">
      <c r="A74" t="s">
        <v>103</v>
      </c>
      <c r="B74" t="s">
        <v>146</v>
      </c>
      <c r="C74" t="s">
        <v>23</v>
      </c>
      <c r="D74">
        <v>2784.02</v>
      </c>
      <c r="E74">
        <v>13</v>
      </c>
      <c r="F74" t="s">
        <v>13</v>
      </c>
      <c r="G74" t="s">
        <v>25</v>
      </c>
      <c r="H74" t="s">
        <v>369</v>
      </c>
      <c r="I74">
        <v>0</v>
      </c>
    </row>
    <row r="75" spans="1:9" x14ac:dyDescent="0.3">
      <c r="A75" t="s">
        <v>394</v>
      </c>
      <c r="B75" t="s">
        <v>395</v>
      </c>
      <c r="C75" t="s">
        <v>35</v>
      </c>
      <c r="D75">
        <v>1014.83</v>
      </c>
      <c r="E75">
        <v>47</v>
      </c>
      <c r="F75" t="s">
        <v>24</v>
      </c>
      <c r="G75" t="s">
        <v>14</v>
      </c>
      <c r="H75" t="s">
        <v>369</v>
      </c>
      <c r="I75">
        <v>0</v>
      </c>
    </row>
    <row r="76" spans="1:9" x14ac:dyDescent="0.3">
      <c r="A76" t="s">
        <v>396</v>
      </c>
      <c r="B76" t="s">
        <v>397</v>
      </c>
      <c r="C76" t="s">
        <v>12</v>
      </c>
      <c r="D76">
        <v>3250.35</v>
      </c>
      <c r="E76">
        <v>12</v>
      </c>
      <c r="F76" t="s">
        <v>13</v>
      </c>
      <c r="G76" t="s">
        <v>25</v>
      </c>
      <c r="H76" t="s">
        <v>369</v>
      </c>
      <c r="I76">
        <v>1</v>
      </c>
    </row>
    <row r="77" spans="1:9" x14ac:dyDescent="0.3">
      <c r="A77" t="s">
        <v>234</v>
      </c>
      <c r="B77" t="s">
        <v>398</v>
      </c>
      <c r="C77" t="s">
        <v>12</v>
      </c>
      <c r="D77">
        <v>2847.25</v>
      </c>
      <c r="E77">
        <v>21</v>
      </c>
      <c r="F77" t="s">
        <v>49</v>
      </c>
      <c r="G77" t="s">
        <v>46</v>
      </c>
      <c r="H77" t="s">
        <v>369</v>
      </c>
      <c r="I77">
        <v>1</v>
      </c>
    </row>
    <row r="78" spans="1:9" x14ac:dyDescent="0.3">
      <c r="A78" t="s">
        <v>399</v>
      </c>
      <c r="B78" t="s">
        <v>400</v>
      </c>
      <c r="C78" t="s">
        <v>35</v>
      </c>
      <c r="D78">
        <v>982.21</v>
      </c>
      <c r="E78">
        <v>45</v>
      </c>
      <c r="F78" t="s">
        <v>49</v>
      </c>
      <c r="G78" t="s">
        <v>14</v>
      </c>
      <c r="H78" t="s">
        <v>369</v>
      </c>
      <c r="I78">
        <v>1</v>
      </c>
    </row>
    <row r="79" spans="1:9" x14ac:dyDescent="0.3">
      <c r="A79" t="s">
        <v>82</v>
      </c>
      <c r="B79" t="s">
        <v>83</v>
      </c>
      <c r="C79" t="s">
        <v>35</v>
      </c>
      <c r="D79">
        <v>1715.11</v>
      </c>
      <c r="E79">
        <v>50</v>
      </c>
      <c r="F79" t="s">
        <v>19</v>
      </c>
      <c r="G79" t="s">
        <v>25</v>
      </c>
      <c r="H79" t="s">
        <v>15</v>
      </c>
      <c r="I79">
        <v>0</v>
      </c>
    </row>
    <row r="80" spans="1:9" x14ac:dyDescent="0.3">
      <c r="A80" t="s">
        <v>401</v>
      </c>
      <c r="B80" t="s">
        <v>402</v>
      </c>
      <c r="C80" t="s">
        <v>35</v>
      </c>
      <c r="D80">
        <v>1457.63</v>
      </c>
      <c r="E80">
        <v>50</v>
      </c>
      <c r="F80" t="s">
        <v>24</v>
      </c>
      <c r="G80" t="s">
        <v>14</v>
      </c>
      <c r="H80" t="s">
        <v>369</v>
      </c>
      <c r="I80">
        <v>0</v>
      </c>
    </row>
    <row r="81" spans="1:9" x14ac:dyDescent="0.3">
      <c r="A81" t="s">
        <v>84</v>
      </c>
      <c r="B81" t="s">
        <v>85</v>
      </c>
      <c r="C81" t="s">
        <v>28</v>
      </c>
      <c r="D81">
        <v>4514.71</v>
      </c>
      <c r="E81">
        <v>8</v>
      </c>
      <c r="F81" t="s">
        <v>36</v>
      </c>
      <c r="G81" t="s">
        <v>29</v>
      </c>
      <c r="H81" t="s">
        <v>15</v>
      </c>
      <c r="I81">
        <v>0</v>
      </c>
    </row>
    <row r="82" spans="1:9" x14ac:dyDescent="0.3">
      <c r="A82" t="s">
        <v>200</v>
      </c>
      <c r="B82" t="s">
        <v>34</v>
      </c>
      <c r="C82" t="s">
        <v>35</v>
      </c>
      <c r="D82">
        <v>2925.72</v>
      </c>
      <c r="E82">
        <v>19</v>
      </c>
      <c r="F82" t="s">
        <v>19</v>
      </c>
      <c r="G82" t="s">
        <v>46</v>
      </c>
      <c r="H82" t="s">
        <v>369</v>
      </c>
      <c r="I82">
        <v>1</v>
      </c>
    </row>
    <row r="83" spans="1:9" x14ac:dyDescent="0.3">
      <c r="A83" t="s">
        <v>86</v>
      </c>
      <c r="B83" t="s">
        <v>87</v>
      </c>
      <c r="C83" t="s">
        <v>23</v>
      </c>
      <c r="D83">
        <v>3685.51</v>
      </c>
      <c r="E83">
        <v>50</v>
      </c>
      <c r="F83" t="s">
        <v>36</v>
      </c>
      <c r="G83" t="s">
        <v>46</v>
      </c>
      <c r="H83" t="s">
        <v>15</v>
      </c>
      <c r="I83">
        <v>1</v>
      </c>
    </row>
    <row r="84" spans="1:9" x14ac:dyDescent="0.3">
      <c r="A84" t="s">
        <v>403</v>
      </c>
      <c r="B84" t="s">
        <v>148</v>
      </c>
      <c r="C84" t="s">
        <v>12</v>
      </c>
      <c r="D84">
        <v>4159.3500000000004</v>
      </c>
      <c r="E84">
        <v>46</v>
      </c>
      <c r="F84" t="s">
        <v>19</v>
      </c>
      <c r="G84" t="s">
        <v>46</v>
      </c>
      <c r="H84" t="s">
        <v>369</v>
      </c>
      <c r="I84">
        <v>0</v>
      </c>
    </row>
    <row r="85" spans="1:9" x14ac:dyDescent="0.3">
      <c r="A85" t="s">
        <v>68</v>
      </c>
      <c r="B85" t="s">
        <v>638</v>
      </c>
      <c r="C85" t="s">
        <v>35</v>
      </c>
      <c r="D85">
        <v>2398.3200000000002</v>
      </c>
      <c r="E85">
        <v>1</v>
      </c>
      <c r="F85" t="s">
        <v>36</v>
      </c>
      <c r="G85" t="s">
        <v>29</v>
      </c>
      <c r="H85" t="s">
        <v>615</v>
      </c>
      <c r="I85">
        <v>0</v>
      </c>
    </row>
    <row r="86" spans="1:9" x14ac:dyDescent="0.3">
      <c r="A86" t="s">
        <v>159</v>
      </c>
      <c r="B86" t="s">
        <v>404</v>
      </c>
      <c r="C86" t="s">
        <v>35</v>
      </c>
      <c r="D86">
        <v>863.81</v>
      </c>
      <c r="E86">
        <v>37</v>
      </c>
      <c r="F86" t="s">
        <v>19</v>
      </c>
      <c r="G86" t="s">
        <v>58</v>
      </c>
      <c r="H86" t="s">
        <v>369</v>
      </c>
      <c r="I86">
        <v>0</v>
      </c>
    </row>
    <row r="87" spans="1:9" x14ac:dyDescent="0.3">
      <c r="A87" t="s">
        <v>405</v>
      </c>
      <c r="B87" t="s">
        <v>406</v>
      </c>
      <c r="C87" t="s">
        <v>23</v>
      </c>
      <c r="D87">
        <v>4551.55</v>
      </c>
      <c r="E87">
        <v>19</v>
      </c>
      <c r="F87" t="s">
        <v>36</v>
      </c>
      <c r="G87" t="s">
        <v>20</v>
      </c>
      <c r="H87" t="s">
        <v>369</v>
      </c>
      <c r="I87">
        <v>1</v>
      </c>
    </row>
    <row r="88" spans="1:9" x14ac:dyDescent="0.3">
      <c r="A88" t="s">
        <v>88</v>
      </c>
      <c r="B88" t="s">
        <v>57</v>
      </c>
      <c r="C88" t="s">
        <v>23</v>
      </c>
      <c r="D88">
        <v>4997.0600000000004</v>
      </c>
      <c r="E88">
        <v>48</v>
      </c>
      <c r="F88" t="s">
        <v>24</v>
      </c>
      <c r="G88" t="s">
        <v>20</v>
      </c>
      <c r="H88" t="s">
        <v>15</v>
      </c>
      <c r="I88">
        <v>0</v>
      </c>
    </row>
    <row r="89" spans="1:9" x14ac:dyDescent="0.3">
      <c r="A89" t="s">
        <v>89</v>
      </c>
      <c r="B89" t="s">
        <v>90</v>
      </c>
      <c r="C89" t="s">
        <v>28</v>
      </c>
      <c r="D89">
        <v>291.24</v>
      </c>
      <c r="E89">
        <v>29</v>
      </c>
      <c r="F89" t="s">
        <v>49</v>
      </c>
      <c r="G89" t="s">
        <v>25</v>
      </c>
      <c r="H89" t="s">
        <v>15</v>
      </c>
      <c r="I89">
        <v>0</v>
      </c>
    </row>
    <row r="90" spans="1:9" x14ac:dyDescent="0.3">
      <c r="A90" t="s">
        <v>91</v>
      </c>
      <c r="B90" t="s">
        <v>92</v>
      </c>
      <c r="C90" t="s">
        <v>23</v>
      </c>
      <c r="D90">
        <v>4652.47</v>
      </c>
      <c r="E90">
        <v>26</v>
      </c>
      <c r="F90" t="s">
        <v>19</v>
      </c>
      <c r="G90" t="s">
        <v>46</v>
      </c>
      <c r="H90" t="s">
        <v>15</v>
      </c>
      <c r="I90">
        <v>1</v>
      </c>
    </row>
    <row r="91" spans="1:9" x14ac:dyDescent="0.3">
      <c r="A91" t="s">
        <v>639</v>
      </c>
      <c r="B91" t="s">
        <v>640</v>
      </c>
      <c r="C91" t="s">
        <v>35</v>
      </c>
      <c r="D91">
        <v>1698.67</v>
      </c>
      <c r="E91">
        <v>41</v>
      </c>
      <c r="F91" t="s">
        <v>36</v>
      </c>
      <c r="G91" t="s">
        <v>25</v>
      </c>
      <c r="H91" t="s">
        <v>615</v>
      </c>
      <c r="I91">
        <v>0</v>
      </c>
    </row>
    <row r="92" spans="1:9" x14ac:dyDescent="0.3">
      <c r="A92" t="s">
        <v>218</v>
      </c>
      <c r="B92" t="s">
        <v>190</v>
      </c>
      <c r="C92" t="s">
        <v>23</v>
      </c>
      <c r="D92">
        <v>3461.38</v>
      </c>
      <c r="E92">
        <v>30</v>
      </c>
      <c r="F92" t="s">
        <v>24</v>
      </c>
      <c r="G92" t="s">
        <v>58</v>
      </c>
      <c r="H92" t="s">
        <v>369</v>
      </c>
      <c r="I92">
        <v>1</v>
      </c>
    </row>
    <row r="93" spans="1:9" x14ac:dyDescent="0.3">
      <c r="A93" t="s">
        <v>93</v>
      </c>
      <c r="B93" t="s">
        <v>94</v>
      </c>
      <c r="C93" t="s">
        <v>12</v>
      </c>
      <c r="D93">
        <v>574.61</v>
      </c>
      <c r="E93">
        <v>50</v>
      </c>
      <c r="F93" t="s">
        <v>24</v>
      </c>
      <c r="G93" t="s">
        <v>20</v>
      </c>
      <c r="H93" t="s">
        <v>15</v>
      </c>
      <c r="I93">
        <v>0</v>
      </c>
    </row>
    <row r="94" spans="1:9" x14ac:dyDescent="0.3">
      <c r="A94" t="s">
        <v>95</v>
      </c>
      <c r="B94" t="s">
        <v>96</v>
      </c>
      <c r="C94" t="s">
        <v>23</v>
      </c>
      <c r="D94">
        <v>111.25</v>
      </c>
      <c r="E94">
        <v>12</v>
      </c>
      <c r="F94" t="s">
        <v>45</v>
      </c>
      <c r="G94" t="s">
        <v>29</v>
      </c>
      <c r="H94" t="s">
        <v>15</v>
      </c>
      <c r="I94">
        <v>1</v>
      </c>
    </row>
    <row r="95" spans="1:9" x14ac:dyDescent="0.3">
      <c r="A95" t="s">
        <v>641</v>
      </c>
      <c r="B95" t="s">
        <v>365</v>
      </c>
      <c r="C95" t="s">
        <v>23</v>
      </c>
      <c r="D95">
        <v>4577.3</v>
      </c>
      <c r="E95">
        <v>30</v>
      </c>
      <c r="F95" t="s">
        <v>45</v>
      </c>
      <c r="G95" t="s">
        <v>25</v>
      </c>
      <c r="H95" t="s">
        <v>615</v>
      </c>
      <c r="I95">
        <v>1</v>
      </c>
    </row>
    <row r="96" spans="1:9" x14ac:dyDescent="0.3">
      <c r="A96" t="s">
        <v>407</v>
      </c>
      <c r="B96" t="s">
        <v>408</v>
      </c>
      <c r="C96" t="s">
        <v>12</v>
      </c>
      <c r="D96">
        <v>410.03</v>
      </c>
      <c r="E96">
        <v>9</v>
      </c>
      <c r="F96" t="s">
        <v>24</v>
      </c>
      <c r="G96" t="s">
        <v>25</v>
      </c>
      <c r="H96" t="s">
        <v>369</v>
      </c>
      <c r="I96">
        <v>0</v>
      </c>
    </row>
    <row r="97" spans="1:9" x14ac:dyDescent="0.3">
      <c r="A97" t="s">
        <v>642</v>
      </c>
      <c r="B97" t="s">
        <v>643</v>
      </c>
      <c r="C97" t="s">
        <v>12</v>
      </c>
      <c r="D97">
        <v>4214.2</v>
      </c>
      <c r="E97">
        <v>2</v>
      </c>
      <c r="F97" t="s">
        <v>49</v>
      </c>
      <c r="G97" t="s">
        <v>46</v>
      </c>
      <c r="H97" t="s">
        <v>615</v>
      </c>
      <c r="I97">
        <v>0</v>
      </c>
    </row>
    <row r="98" spans="1:9" x14ac:dyDescent="0.3">
      <c r="A98" t="s">
        <v>409</v>
      </c>
      <c r="B98" t="s">
        <v>410</v>
      </c>
      <c r="C98" t="s">
        <v>12</v>
      </c>
      <c r="D98">
        <v>1662.8</v>
      </c>
      <c r="E98">
        <v>8</v>
      </c>
      <c r="F98" t="s">
        <v>49</v>
      </c>
      <c r="G98" t="s">
        <v>58</v>
      </c>
      <c r="H98" t="s">
        <v>369</v>
      </c>
      <c r="I98">
        <v>1</v>
      </c>
    </row>
    <row r="99" spans="1:9" x14ac:dyDescent="0.3">
      <c r="A99" t="s">
        <v>411</v>
      </c>
      <c r="B99" t="s">
        <v>412</v>
      </c>
      <c r="C99" t="s">
        <v>12</v>
      </c>
      <c r="D99">
        <v>2656.18</v>
      </c>
      <c r="E99">
        <v>24</v>
      </c>
      <c r="F99" t="s">
        <v>19</v>
      </c>
      <c r="G99" t="s">
        <v>29</v>
      </c>
      <c r="H99" t="s">
        <v>369</v>
      </c>
      <c r="I99">
        <v>1</v>
      </c>
    </row>
    <row r="100" spans="1:9" x14ac:dyDescent="0.3">
      <c r="A100" t="s">
        <v>361</v>
      </c>
      <c r="B100" t="s">
        <v>413</v>
      </c>
      <c r="C100" t="s">
        <v>12</v>
      </c>
      <c r="D100">
        <v>2026.84</v>
      </c>
      <c r="E100">
        <v>44</v>
      </c>
      <c r="F100" t="s">
        <v>24</v>
      </c>
      <c r="G100" t="s">
        <v>29</v>
      </c>
      <c r="H100" t="s">
        <v>369</v>
      </c>
      <c r="I100">
        <v>0</v>
      </c>
    </row>
    <row r="101" spans="1:9" x14ac:dyDescent="0.3">
      <c r="A101" t="s">
        <v>97</v>
      </c>
      <c r="B101" t="s">
        <v>98</v>
      </c>
      <c r="C101" t="s">
        <v>28</v>
      </c>
      <c r="D101">
        <v>2129.71</v>
      </c>
      <c r="E101">
        <v>48</v>
      </c>
      <c r="F101" t="s">
        <v>45</v>
      </c>
      <c r="G101" t="s">
        <v>14</v>
      </c>
      <c r="H101" t="s">
        <v>15</v>
      </c>
      <c r="I101">
        <v>1</v>
      </c>
    </row>
    <row r="102" spans="1:9" x14ac:dyDescent="0.3">
      <c r="A102" t="s">
        <v>259</v>
      </c>
      <c r="B102" t="s">
        <v>644</v>
      </c>
      <c r="C102" t="s">
        <v>28</v>
      </c>
      <c r="D102">
        <v>3752.55</v>
      </c>
      <c r="E102">
        <v>15</v>
      </c>
      <c r="F102" t="s">
        <v>13</v>
      </c>
      <c r="G102" t="s">
        <v>58</v>
      </c>
      <c r="H102" t="s">
        <v>615</v>
      </c>
      <c r="I102">
        <v>1</v>
      </c>
    </row>
    <row r="103" spans="1:9" x14ac:dyDescent="0.3">
      <c r="A103" t="s">
        <v>407</v>
      </c>
      <c r="B103" t="s">
        <v>480</v>
      </c>
      <c r="C103" t="s">
        <v>35</v>
      </c>
      <c r="D103">
        <v>855.51</v>
      </c>
      <c r="E103">
        <v>29</v>
      </c>
      <c r="F103" t="s">
        <v>36</v>
      </c>
      <c r="G103" t="s">
        <v>14</v>
      </c>
      <c r="H103" t="s">
        <v>615</v>
      </c>
      <c r="I103">
        <v>1</v>
      </c>
    </row>
    <row r="104" spans="1:9" x14ac:dyDescent="0.3">
      <c r="A104" t="s">
        <v>414</v>
      </c>
      <c r="B104" t="s">
        <v>34</v>
      </c>
      <c r="C104" t="s">
        <v>23</v>
      </c>
      <c r="D104">
        <v>2005.42</v>
      </c>
      <c r="E104">
        <v>15</v>
      </c>
      <c r="F104" t="s">
        <v>49</v>
      </c>
      <c r="G104" t="s">
        <v>14</v>
      </c>
      <c r="H104" t="s">
        <v>369</v>
      </c>
      <c r="I104">
        <v>0</v>
      </c>
    </row>
    <row r="105" spans="1:9" x14ac:dyDescent="0.3">
      <c r="A105" t="s">
        <v>415</v>
      </c>
      <c r="B105" t="s">
        <v>416</v>
      </c>
      <c r="C105" t="s">
        <v>28</v>
      </c>
      <c r="D105">
        <v>3276.8</v>
      </c>
      <c r="E105">
        <v>41</v>
      </c>
      <c r="F105" t="s">
        <v>19</v>
      </c>
      <c r="G105" t="s">
        <v>14</v>
      </c>
      <c r="H105" t="s">
        <v>369</v>
      </c>
      <c r="I105">
        <v>1</v>
      </c>
    </row>
    <row r="106" spans="1:9" x14ac:dyDescent="0.3">
      <c r="A106" t="s">
        <v>417</v>
      </c>
      <c r="B106" t="s">
        <v>418</v>
      </c>
      <c r="C106" t="s">
        <v>35</v>
      </c>
      <c r="D106">
        <v>4687.1899999999996</v>
      </c>
      <c r="E106">
        <v>25</v>
      </c>
      <c r="F106" t="s">
        <v>19</v>
      </c>
      <c r="G106" t="s">
        <v>25</v>
      </c>
      <c r="H106" t="s">
        <v>369</v>
      </c>
      <c r="I106">
        <v>0</v>
      </c>
    </row>
    <row r="107" spans="1:9" x14ac:dyDescent="0.3">
      <c r="A107" t="s">
        <v>419</v>
      </c>
      <c r="B107" t="s">
        <v>313</v>
      </c>
      <c r="C107" t="s">
        <v>23</v>
      </c>
      <c r="D107">
        <v>3620.07</v>
      </c>
      <c r="E107">
        <v>3</v>
      </c>
      <c r="F107" t="s">
        <v>49</v>
      </c>
      <c r="G107" t="s">
        <v>29</v>
      </c>
      <c r="H107" t="s">
        <v>369</v>
      </c>
      <c r="I107">
        <v>0</v>
      </c>
    </row>
    <row r="108" spans="1:9" x14ac:dyDescent="0.3">
      <c r="A108" t="s">
        <v>375</v>
      </c>
      <c r="B108" t="s">
        <v>645</v>
      </c>
      <c r="C108" t="s">
        <v>12</v>
      </c>
      <c r="D108">
        <v>3029.37</v>
      </c>
      <c r="E108">
        <v>34</v>
      </c>
      <c r="F108" t="s">
        <v>49</v>
      </c>
      <c r="G108" t="s">
        <v>20</v>
      </c>
      <c r="H108" t="s">
        <v>615</v>
      </c>
      <c r="I108">
        <v>1</v>
      </c>
    </row>
    <row r="109" spans="1:9" x14ac:dyDescent="0.3">
      <c r="A109" t="s">
        <v>420</v>
      </c>
      <c r="B109" t="s">
        <v>257</v>
      </c>
      <c r="C109" t="s">
        <v>35</v>
      </c>
      <c r="D109">
        <v>761.64</v>
      </c>
      <c r="E109">
        <v>36</v>
      </c>
      <c r="F109" t="s">
        <v>36</v>
      </c>
      <c r="G109" t="s">
        <v>46</v>
      </c>
      <c r="H109" t="s">
        <v>369</v>
      </c>
      <c r="I109">
        <v>0</v>
      </c>
    </row>
    <row r="110" spans="1:9" x14ac:dyDescent="0.3">
      <c r="A110" t="s">
        <v>99</v>
      </c>
      <c r="B110" t="s">
        <v>100</v>
      </c>
      <c r="C110" t="s">
        <v>23</v>
      </c>
      <c r="D110">
        <v>3996.01</v>
      </c>
      <c r="E110">
        <v>29</v>
      </c>
      <c r="F110" t="s">
        <v>36</v>
      </c>
      <c r="G110" t="s">
        <v>20</v>
      </c>
      <c r="H110" t="s">
        <v>15</v>
      </c>
      <c r="I110">
        <v>0</v>
      </c>
    </row>
    <row r="111" spans="1:9" x14ac:dyDescent="0.3">
      <c r="A111" t="s">
        <v>101</v>
      </c>
      <c r="B111" t="s">
        <v>102</v>
      </c>
      <c r="C111" t="s">
        <v>12</v>
      </c>
      <c r="D111">
        <v>2986.49</v>
      </c>
      <c r="E111">
        <v>7</v>
      </c>
      <c r="F111" t="s">
        <v>19</v>
      </c>
      <c r="G111" t="s">
        <v>46</v>
      </c>
      <c r="H111" t="s">
        <v>15</v>
      </c>
      <c r="I111">
        <v>1</v>
      </c>
    </row>
    <row r="112" spans="1:9" x14ac:dyDescent="0.3">
      <c r="A112" t="s">
        <v>646</v>
      </c>
      <c r="B112" t="s">
        <v>647</v>
      </c>
      <c r="C112" t="s">
        <v>35</v>
      </c>
      <c r="D112">
        <v>3078.65</v>
      </c>
      <c r="E112">
        <v>26</v>
      </c>
      <c r="F112" t="s">
        <v>49</v>
      </c>
      <c r="G112" t="s">
        <v>29</v>
      </c>
      <c r="H112" t="s">
        <v>615</v>
      </c>
      <c r="I112">
        <v>1</v>
      </c>
    </row>
    <row r="113" spans="1:9" x14ac:dyDescent="0.3">
      <c r="A113" t="s">
        <v>421</v>
      </c>
      <c r="B113" t="s">
        <v>138</v>
      </c>
      <c r="C113" t="s">
        <v>28</v>
      </c>
      <c r="D113">
        <v>3686.97</v>
      </c>
      <c r="E113">
        <v>20</v>
      </c>
      <c r="F113" t="s">
        <v>19</v>
      </c>
      <c r="G113" t="s">
        <v>20</v>
      </c>
      <c r="H113" t="s">
        <v>369</v>
      </c>
      <c r="I113">
        <v>0</v>
      </c>
    </row>
    <row r="114" spans="1:9" x14ac:dyDescent="0.3">
      <c r="A114" t="s">
        <v>226</v>
      </c>
      <c r="B114" t="s">
        <v>577</v>
      </c>
      <c r="C114" t="s">
        <v>12</v>
      </c>
      <c r="D114">
        <v>2182.83</v>
      </c>
      <c r="E114">
        <v>13</v>
      </c>
      <c r="F114" t="s">
        <v>36</v>
      </c>
      <c r="G114" t="s">
        <v>25</v>
      </c>
      <c r="H114" t="s">
        <v>615</v>
      </c>
      <c r="I114">
        <v>0</v>
      </c>
    </row>
    <row r="115" spans="1:9" x14ac:dyDescent="0.3">
      <c r="A115" t="s">
        <v>103</v>
      </c>
      <c r="B115" t="s">
        <v>104</v>
      </c>
      <c r="C115" t="s">
        <v>12</v>
      </c>
      <c r="D115">
        <v>28.1</v>
      </c>
      <c r="E115">
        <v>1</v>
      </c>
      <c r="F115" t="s">
        <v>36</v>
      </c>
      <c r="G115" t="s">
        <v>29</v>
      </c>
      <c r="H115" t="s">
        <v>15</v>
      </c>
      <c r="I115">
        <v>1</v>
      </c>
    </row>
    <row r="116" spans="1:9" x14ac:dyDescent="0.3">
      <c r="A116" t="s">
        <v>422</v>
      </c>
      <c r="B116" t="s">
        <v>190</v>
      </c>
      <c r="C116" t="s">
        <v>12</v>
      </c>
      <c r="D116">
        <v>87.71</v>
      </c>
      <c r="E116">
        <v>20</v>
      </c>
      <c r="F116" t="s">
        <v>36</v>
      </c>
      <c r="G116" t="s">
        <v>14</v>
      </c>
      <c r="H116" t="s">
        <v>369</v>
      </c>
      <c r="I116">
        <v>0</v>
      </c>
    </row>
    <row r="117" spans="1:9" x14ac:dyDescent="0.3">
      <c r="A117" t="s">
        <v>105</v>
      </c>
      <c r="B117" t="s">
        <v>106</v>
      </c>
      <c r="C117" t="s">
        <v>35</v>
      </c>
      <c r="D117">
        <v>4554.3500000000004</v>
      </c>
      <c r="E117">
        <v>24</v>
      </c>
      <c r="F117" t="s">
        <v>19</v>
      </c>
      <c r="G117" t="s">
        <v>25</v>
      </c>
      <c r="H117" t="s">
        <v>15</v>
      </c>
      <c r="I117">
        <v>0</v>
      </c>
    </row>
    <row r="118" spans="1:9" x14ac:dyDescent="0.3">
      <c r="A118" t="s">
        <v>648</v>
      </c>
      <c r="B118" t="s">
        <v>38</v>
      </c>
      <c r="C118" t="s">
        <v>35</v>
      </c>
      <c r="D118">
        <v>897.67</v>
      </c>
      <c r="E118">
        <v>30</v>
      </c>
      <c r="F118" t="s">
        <v>13</v>
      </c>
      <c r="G118" t="s">
        <v>29</v>
      </c>
      <c r="H118" t="s">
        <v>615</v>
      </c>
      <c r="I118">
        <v>1</v>
      </c>
    </row>
    <row r="119" spans="1:9" x14ac:dyDescent="0.3">
      <c r="A119" t="s">
        <v>337</v>
      </c>
      <c r="B119" t="s">
        <v>649</v>
      </c>
      <c r="C119" t="s">
        <v>35</v>
      </c>
      <c r="D119">
        <v>455.31</v>
      </c>
      <c r="E119">
        <v>15</v>
      </c>
      <c r="F119" t="s">
        <v>49</v>
      </c>
      <c r="G119" t="s">
        <v>29</v>
      </c>
      <c r="H119" t="s">
        <v>615</v>
      </c>
      <c r="I119">
        <v>1</v>
      </c>
    </row>
    <row r="120" spans="1:9" x14ac:dyDescent="0.3">
      <c r="A120" t="s">
        <v>99</v>
      </c>
      <c r="B120" t="s">
        <v>423</v>
      </c>
      <c r="C120" t="s">
        <v>12</v>
      </c>
      <c r="D120">
        <v>3456.67</v>
      </c>
      <c r="E120">
        <v>30</v>
      </c>
      <c r="F120" t="s">
        <v>45</v>
      </c>
      <c r="G120" t="s">
        <v>14</v>
      </c>
      <c r="H120" t="s">
        <v>369</v>
      </c>
      <c r="I120">
        <v>1</v>
      </c>
    </row>
    <row r="121" spans="1:9" x14ac:dyDescent="0.3">
      <c r="A121" t="s">
        <v>650</v>
      </c>
      <c r="B121" t="s">
        <v>651</v>
      </c>
      <c r="C121" t="s">
        <v>28</v>
      </c>
      <c r="D121">
        <v>4245.6099999999997</v>
      </c>
      <c r="E121">
        <v>22</v>
      </c>
      <c r="F121" t="s">
        <v>49</v>
      </c>
      <c r="G121" t="s">
        <v>25</v>
      </c>
      <c r="H121" t="s">
        <v>615</v>
      </c>
      <c r="I121">
        <v>0</v>
      </c>
    </row>
    <row r="122" spans="1:9" x14ac:dyDescent="0.3">
      <c r="A122" t="s">
        <v>371</v>
      </c>
      <c r="B122" t="s">
        <v>424</v>
      </c>
      <c r="C122" t="s">
        <v>12</v>
      </c>
      <c r="D122">
        <v>3246.58</v>
      </c>
      <c r="E122">
        <v>36</v>
      </c>
      <c r="F122" t="s">
        <v>19</v>
      </c>
      <c r="G122" t="s">
        <v>14</v>
      </c>
      <c r="H122" t="s">
        <v>369</v>
      </c>
      <c r="I122">
        <v>0</v>
      </c>
    </row>
    <row r="123" spans="1:9" x14ac:dyDescent="0.3">
      <c r="A123" t="s">
        <v>244</v>
      </c>
      <c r="B123" t="s">
        <v>652</v>
      </c>
      <c r="C123" t="s">
        <v>28</v>
      </c>
      <c r="D123">
        <v>174.41</v>
      </c>
      <c r="E123">
        <v>27</v>
      </c>
      <c r="F123" t="s">
        <v>24</v>
      </c>
      <c r="G123" t="s">
        <v>20</v>
      </c>
      <c r="H123" t="s">
        <v>615</v>
      </c>
      <c r="I123">
        <v>1</v>
      </c>
    </row>
    <row r="124" spans="1:9" x14ac:dyDescent="0.3">
      <c r="A124" t="s">
        <v>107</v>
      </c>
      <c r="B124" t="s">
        <v>108</v>
      </c>
      <c r="C124" t="s">
        <v>28</v>
      </c>
      <c r="D124">
        <v>2675.93</v>
      </c>
      <c r="E124">
        <v>22</v>
      </c>
      <c r="F124" t="s">
        <v>19</v>
      </c>
      <c r="G124" t="s">
        <v>46</v>
      </c>
      <c r="H124" t="s">
        <v>15</v>
      </c>
      <c r="I124">
        <v>0</v>
      </c>
    </row>
    <row r="125" spans="1:9" x14ac:dyDescent="0.3">
      <c r="A125" t="s">
        <v>653</v>
      </c>
      <c r="B125" t="s">
        <v>654</v>
      </c>
      <c r="C125" t="s">
        <v>28</v>
      </c>
      <c r="D125">
        <v>332.18</v>
      </c>
      <c r="E125">
        <v>11</v>
      </c>
      <c r="F125" t="s">
        <v>24</v>
      </c>
      <c r="G125" t="s">
        <v>25</v>
      </c>
      <c r="H125" t="s">
        <v>615</v>
      </c>
      <c r="I125">
        <v>0</v>
      </c>
    </row>
    <row r="126" spans="1:9" x14ac:dyDescent="0.3">
      <c r="A126" t="s">
        <v>655</v>
      </c>
      <c r="B126" t="s">
        <v>656</v>
      </c>
      <c r="C126" t="s">
        <v>12</v>
      </c>
      <c r="D126">
        <v>2925.29</v>
      </c>
      <c r="E126">
        <v>5</v>
      </c>
      <c r="F126" t="s">
        <v>36</v>
      </c>
      <c r="G126" t="s">
        <v>25</v>
      </c>
      <c r="H126" t="s">
        <v>615</v>
      </c>
      <c r="I126">
        <v>0</v>
      </c>
    </row>
    <row r="127" spans="1:9" x14ac:dyDescent="0.3">
      <c r="A127" t="s">
        <v>109</v>
      </c>
      <c r="B127" t="s">
        <v>110</v>
      </c>
      <c r="C127" t="s">
        <v>12</v>
      </c>
      <c r="D127">
        <v>4806.3100000000004</v>
      </c>
      <c r="E127">
        <v>1</v>
      </c>
      <c r="F127" t="s">
        <v>19</v>
      </c>
      <c r="G127" t="s">
        <v>14</v>
      </c>
      <c r="H127" t="s">
        <v>15</v>
      </c>
      <c r="I127">
        <v>1</v>
      </c>
    </row>
    <row r="128" spans="1:9" x14ac:dyDescent="0.3">
      <c r="A128" t="s">
        <v>425</v>
      </c>
      <c r="B128" t="s">
        <v>227</v>
      </c>
      <c r="C128" t="s">
        <v>35</v>
      </c>
      <c r="D128">
        <v>3324.77</v>
      </c>
      <c r="E128">
        <v>20</v>
      </c>
      <c r="F128" t="s">
        <v>13</v>
      </c>
      <c r="G128" t="s">
        <v>29</v>
      </c>
      <c r="H128" t="s">
        <v>369</v>
      </c>
      <c r="I128">
        <v>1</v>
      </c>
    </row>
    <row r="129" spans="1:9" x14ac:dyDescent="0.3">
      <c r="A129" t="s">
        <v>111</v>
      </c>
      <c r="B129" t="s">
        <v>112</v>
      </c>
      <c r="C129" t="s">
        <v>28</v>
      </c>
      <c r="D129">
        <v>500.64</v>
      </c>
      <c r="E129">
        <v>24</v>
      </c>
      <c r="F129" t="s">
        <v>45</v>
      </c>
      <c r="G129" t="s">
        <v>14</v>
      </c>
      <c r="H129" t="s">
        <v>15</v>
      </c>
      <c r="I129">
        <v>1</v>
      </c>
    </row>
    <row r="130" spans="1:9" x14ac:dyDescent="0.3">
      <c r="A130" t="s">
        <v>428</v>
      </c>
      <c r="B130" t="s">
        <v>92</v>
      </c>
      <c r="C130" t="s">
        <v>23</v>
      </c>
      <c r="D130">
        <v>3616.01</v>
      </c>
      <c r="E130">
        <v>48</v>
      </c>
      <c r="F130" t="s">
        <v>19</v>
      </c>
      <c r="G130" t="s">
        <v>20</v>
      </c>
      <c r="H130" t="s">
        <v>615</v>
      </c>
      <c r="I130">
        <v>0</v>
      </c>
    </row>
    <row r="131" spans="1:9" x14ac:dyDescent="0.3">
      <c r="A131" t="s">
        <v>113</v>
      </c>
      <c r="B131" t="s">
        <v>114</v>
      </c>
      <c r="C131" t="s">
        <v>12</v>
      </c>
      <c r="D131">
        <v>2800.24</v>
      </c>
      <c r="E131">
        <v>39</v>
      </c>
      <c r="F131" t="s">
        <v>24</v>
      </c>
      <c r="G131" t="s">
        <v>20</v>
      </c>
      <c r="H131" t="s">
        <v>15</v>
      </c>
      <c r="I131">
        <v>1</v>
      </c>
    </row>
    <row r="132" spans="1:9" x14ac:dyDescent="0.3">
      <c r="A132" t="s">
        <v>657</v>
      </c>
      <c r="B132" t="s">
        <v>610</v>
      </c>
      <c r="C132" t="s">
        <v>12</v>
      </c>
      <c r="D132">
        <v>4456.2</v>
      </c>
      <c r="E132">
        <v>15</v>
      </c>
      <c r="F132" t="s">
        <v>36</v>
      </c>
      <c r="G132" t="s">
        <v>58</v>
      </c>
      <c r="H132" t="s">
        <v>615</v>
      </c>
      <c r="I132">
        <v>1</v>
      </c>
    </row>
    <row r="133" spans="1:9" x14ac:dyDescent="0.3">
      <c r="A133" t="s">
        <v>234</v>
      </c>
      <c r="B133" t="s">
        <v>426</v>
      </c>
      <c r="C133" t="s">
        <v>35</v>
      </c>
      <c r="D133">
        <v>4174.22</v>
      </c>
      <c r="E133">
        <v>46</v>
      </c>
      <c r="F133" t="s">
        <v>24</v>
      </c>
      <c r="G133" t="s">
        <v>20</v>
      </c>
      <c r="H133" t="s">
        <v>369</v>
      </c>
      <c r="I133">
        <v>0</v>
      </c>
    </row>
    <row r="134" spans="1:9" x14ac:dyDescent="0.3">
      <c r="A134" t="s">
        <v>427</v>
      </c>
      <c r="B134" t="s">
        <v>416</v>
      </c>
      <c r="C134" t="s">
        <v>12</v>
      </c>
      <c r="D134">
        <v>1515.8</v>
      </c>
      <c r="E134">
        <v>24</v>
      </c>
      <c r="F134" t="s">
        <v>49</v>
      </c>
      <c r="G134" t="s">
        <v>29</v>
      </c>
      <c r="H134" t="s">
        <v>369</v>
      </c>
      <c r="I134">
        <v>1</v>
      </c>
    </row>
    <row r="135" spans="1:9" x14ac:dyDescent="0.3">
      <c r="A135" t="s">
        <v>115</v>
      </c>
      <c r="B135" t="s">
        <v>116</v>
      </c>
      <c r="C135" t="s">
        <v>23</v>
      </c>
      <c r="D135">
        <v>133.41999999999999</v>
      </c>
      <c r="E135">
        <v>41</v>
      </c>
      <c r="F135" t="s">
        <v>36</v>
      </c>
      <c r="G135" t="s">
        <v>14</v>
      </c>
      <c r="H135" t="s">
        <v>15</v>
      </c>
      <c r="I135">
        <v>1</v>
      </c>
    </row>
    <row r="136" spans="1:9" x14ac:dyDescent="0.3">
      <c r="A136" t="s">
        <v>117</v>
      </c>
      <c r="B136" t="s">
        <v>118</v>
      </c>
      <c r="C136" t="s">
        <v>12</v>
      </c>
      <c r="D136">
        <v>1734.85</v>
      </c>
      <c r="E136">
        <v>46</v>
      </c>
      <c r="F136" t="s">
        <v>36</v>
      </c>
      <c r="G136" t="s">
        <v>58</v>
      </c>
      <c r="H136" t="s">
        <v>15</v>
      </c>
      <c r="I136">
        <v>1</v>
      </c>
    </row>
    <row r="137" spans="1:9" x14ac:dyDescent="0.3">
      <c r="A137" t="s">
        <v>119</v>
      </c>
      <c r="B137" t="s">
        <v>120</v>
      </c>
      <c r="C137" t="s">
        <v>23</v>
      </c>
      <c r="D137">
        <v>299.36</v>
      </c>
      <c r="E137">
        <v>41</v>
      </c>
      <c r="F137" t="s">
        <v>36</v>
      </c>
      <c r="G137" t="s">
        <v>46</v>
      </c>
      <c r="H137" t="s">
        <v>15</v>
      </c>
      <c r="I137">
        <v>1</v>
      </c>
    </row>
    <row r="138" spans="1:9" x14ac:dyDescent="0.3">
      <c r="A138" t="s">
        <v>428</v>
      </c>
      <c r="B138" t="s">
        <v>429</v>
      </c>
      <c r="C138" t="s">
        <v>12</v>
      </c>
      <c r="D138">
        <v>2235.9699999999998</v>
      </c>
      <c r="E138">
        <v>30</v>
      </c>
      <c r="F138" t="s">
        <v>49</v>
      </c>
      <c r="G138" t="s">
        <v>46</v>
      </c>
      <c r="H138" t="s">
        <v>369</v>
      </c>
      <c r="I138">
        <v>0</v>
      </c>
    </row>
    <row r="139" spans="1:9" x14ac:dyDescent="0.3">
      <c r="A139" t="s">
        <v>121</v>
      </c>
      <c r="B139" t="s">
        <v>122</v>
      </c>
      <c r="C139" t="s">
        <v>23</v>
      </c>
      <c r="D139">
        <v>4209.78</v>
      </c>
      <c r="E139">
        <v>2</v>
      </c>
      <c r="F139" t="s">
        <v>45</v>
      </c>
      <c r="G139" t="s">
        <v>29</v>
      </c>
      <c r="H139" t="s">
        <v>15</v>
      </c>
      <c r="I139">
        <v>1</v>
      </c>
    </row>
    <row r="140" spans="1:9" x14ac:dyDescent="0.3">
      <c r="A140" t="s">
        <v>430</v>
      </c>
      <c r="B140" t="s">
        <v>431</v>
      </c>
      <c r="C140" t="s">
        <v>28</v>
      </c>
      <c r="D140">
        <v>1520.7</v>
      </c>
      <c r="E140">
        <v>43</v>
      </c>
      <c r="F140" t="s">
        <v>49</v>
      </c>
      <c r="G140" t="s">
        <v>46</v>
      </c>
      <c r="H140" t="s">
        <v>369</v>
      </c>
      <c r="I140">
        <v>0</v>
      </c>
    </row>
    <row r="141" spans="1:9" x14ac:dyDescent="0.3">
      <c r="A141" t="s">
        <v>171</v>
      </c>
      <c r="B141" t="s">
        <v>432</v>
      </c>
      <c r="C141" t="s">
        <v>12</v>
      </c>
      <c r="D141">
        <v>1202.3699999999999</v>
      </c>
      <c r="E141">
        <v>5</v>
      </c>
      <c r="F141" t="s">
        <v>24</v>
      </c>
      <c r="G141" t="s">
        <v>58</v>
      </c>
      <c r="H141" t="s">
        <v>369</v>
      </c>
      <c r="I141">
        <v>1</v>
      </c>
    </row>
    <row r="142" spans="1:9" x14ac:dyDescent="0.3">
      <c r="A142" t="s">
        <v>439</v>
      </c>
      <c r="B142" t="s">
        <v>658</v>
      </c>
      <c r="C142" t="s">
        <v>12</v>
      </c>
      <c r="D142">
        <v>311.45</v>
      </c>
      <c r="E142">
        <v>12</v>
      </c>
      <c r="F142" t="s">
        <v>24</v>
      </c>
      <c r="G142" t="s">
        <v>20</v>
      </c>
      <c r="H142" t="s">
        <v>615</v>
      </c>
      <c r="I142">
        <v>0</v>
      </c>
    </row>
    <row r="143" spans="1:9" x14ac:dyDescent="0.3">
      <c r="A143" t="s">
        <v>659</v>
      </c>
      <c r="B143" t="s">
        <v>645</v>
      </c>
      <c r="C143" t="s">
        <v>23</v>
      </c>
      <c r="D143">
        <v>959.31</v>
      </c>
      <c r="E143">
        <v>31</v>
      </c>
      <c r="F143" t="s">
        <v>13</v>
      </c>
      <c r="G143" t="s">
        <v>58</v>
      </c>
      <c r="H143" t="s">
        <v>615</v>
      </c>
      <c r="I143">
        <v>0</v>
      </c>
    </row>
    <row r="144" spans="1:9" x14ac:dyDescent="0.3">
      <c r="A144" t="s">
        <v>351</v>
      </c>
      <c r="B144" t="s">
        <v>305</v>
      </c>
      <c r="C144" t="s">
        <v>23</v>
      </c>
      <c r="D144">
        <v>3262.19</v>
      </c>
      <c r="E144">
        <v>17</v>
      </c>
      <c r="F144" t="s">
        <v>45</v>
      </c>
      <c r="G144" t="s">
        <v>25</v>
      </c>
      <c r="H144" t="s">
        <v>615</v>
      </c>
      <c r="I144">
        <v>1</v>
      </c>
    </row>
    <row r="145" spans="1:9" x14ac:dyDescent="0.3">
      <c r="A145" t="s">
        <v>367</v>
      </c>
      <c r="B145" t="s">
        <v>660</v>
      </c>
      <c r="C145" t="s">
        <v>35</v>
      </c>
      <c r="D145">
        <v>511.75</v>
      </c>
      <c r="E145">
        <v>35</v>
      </c>
      <c r="F145" t="s">
        <v>49</v>
      </c>
      <c r="G145" t="s">
        <v>14</v>
      </c>
      <c r="H145" t="s">
        <v>615</v>
      </c>
      <c r="I145">
        <v>1</v>
      </c>
    </row>
    <row r="146" spans="1:9" x14ac:dyDescent="0.3">
      <c r="A146" t="s">
        <v>453</v>
      </c>
      <c r="B146" t="s">
        <v>341</v>
      </c>
      <c r="C146" t="s">
        <v>28</v>
      </c>
      <c r="D146">
        <v>3646.89</v>
      </c>
      <c r="E146">
        <v>5</v>
      </c>
      <c r="F146" t="s">
        <v>36</v>
      </c>
      <c r="G146" t="s">
        <v>14</v>
      </c>
      <c r="H146" t="s">
        <v>615</v>
      </c>
      <c r="I146">
        <v>0</v>
      </c>
    </row>
    <row r="147" spans="1:9" x14ac:dyDescent="0.3">
      <c r="A147" t="s">
        <v>123</v>
      </c>
      <c r="B147" t="s">
        <v>124</v>
      </c>
      <c r="C147" t="s">
        <v>35</v>
      </c>
      <c r="D147">
        <v>2624.33</v>
      </c>
      <c r="E147">
        <v>21</v>
      </c>
      <c r="F147" t="s">
        <v>13</v>
      </c>
      <c r="G147" t="s">
        <v>25</v>
      </c>
      <c r="H147" t="s">
        <v>15</v>
      </c>
      <c r="I147">
        <v>0</v>
      </c>
    </row>
    <row r="148" spans="1:9" x14ac:dyDescent="0.3">
      <c r="A148" t="s">
        <v>208</v>
      </c>
      <c r="B148" t="s">
        <v>433</v>
      </c>
      <c r="C148" t="s">
        <v>12</v>
      </c>
      <c r="D148">
        <v>4591.16</v>
      </c>
      <c r="E148">
        <v>8</v>
      </c>
      <c r="F148" t="s">
        <v>49</v>
      </c>
      <c r="G148" t="s">
        <v>20</v>
      </c>
      <c r="H148" t="s">
        <v>369</v>
      </c>
      <c r="I148">
        <v>1</v>
      </c>
    </row>
    <row r="149" spans="1:9" x14ac:dyDescent="0.3">
      <c r="A149" t="s">
        <v>434</v>
      </c>
      <c r="B149" t="s">
        <v>243</v>
      </c>
      <c r="C149" t="s">
        <v>23</v>
      </c>
      <c r="D149">
        <v>2807.01</v>
      </c>
      <c r="E149">
        <v>25</v>
      </c>
      <c r="F149" t="s">
        <v>45</v>
      </c>
      <c r="G149" t="s">
        <v>25</v>
      </c>
      <c r="H149" t="s">
        <v>369</v>
      </c>
      <c r="I149">
        <v>1</v>
      </c>
    </row>
    <row r="150" spans="1:9" x14ac:dyDescent="0.3">
      <c r="A150" t="s">
        <v>165</v>
      </c>
      <c r="B150" t="s">
        <v>164</v>
      </c>
      <c r="C150" t="s">
        <v>35</v>
      </c>
      <c r="D150">
        <v>1363.26</v>
      </c>
      <c r="E150">
        <v>35</v>
      </c>
      <c r="F150" t="s">
        <v>45</v>
      </c>
      <c r="G150" t="s">
        <v>20</v>
      </c>
      <c r="H150" t="s">
        <v>369</v>
      </c>
      <c r="I150">
        <v>1</v>
      </c>
    </row>
    <row r="151" spans="1:9" x14ac:dyDescent="0.3">
      <c r="A151" t="s">
        <v>435</v>
      </c>
      <c r="B151" t="s">
        <v>436</v>
      </c>
      <c r="C151" t="s">
        <v>28</v>
      </c>
      <c r="D151">
        <v>587.61</v>
      </c>
      <c r="E151">
        <v>43</v>
      </c>
      <c r="F151" t="s">
        <v>24</v>
      </c>
      <c r="G151" t="s">
        <v>25</v>
      </c>
      <c r="H151" t="s">
        <v>369</v>
      </c>
      <c r="I151">
        <v>1</v>
      </c>
    </row>
    <row r="152" spans="1:9" x14ac:dyDescent="0.3">
      <c r="A152" t="s">
        <v>281</v>
      </c>
      <c r="B152" t="s">
        <v>116</v>
      </c>
      <c r="C152" t="s">
        <v>28</v>
      </c>
      <c r="D152">
        <v>1576.2</v>
      </c>
      <c r="E152">
        <v>2</v>
      </c>
      <c r="F152" t="s">
        <v>24</v>
      </c>
      <c r="G152" t="s">
        <v>14</v>
      </c>
      <c r="H152" t="s">
        <v>369</v>
      </c>
      <c r="I152">
        <v>0</v>
      </c>
    </row>
    <row r="153" spans="1:9" x14ac:dyDescent="0.3">
      <c r="A153" t="s">
        <v>125</v>
      </c>
      <c r="B153" t="s">
        <v>126</v>
      </c>
      <c r="C153" t="s">
        <v>35</v>
      </c>
      <c r="D153">
        <v>3616.64</v>
      </c>
      <c r="E153">
        <v>40</v>
      </c>
      <c r="F153" t="s">
        <v>19</v>
      </c>
      <c r="G153" t="s">
        <v>25</v>
      </c>
      <c r="H153" t="s">
        <v>15</v>
      </c>
      <c r="I153">
        <v>1</v>
      </c>
    </row>
    <row r="154" spans="1:9" x14ac:dyDescent="0.3">
      <c r="A154" t="s">
        <v>437</v>
      </c>
      <c r="B154" t="s">
        <v>438</v>
      </c>
      <c r="C154" t="s">
        <v>35</v>
      </c>
      <c r="D154">
        <v>4476.8900000000003</v>
      </c>
      <c r="E154">
        <v>30</v>
      </c>
      <c r="F154" t="s">
        <v>45</v>
      </c>
      <c r="G154" t="s">
        <v>58</v>
      </c>
      <c r="H154" t="s">
        <v>369</v>
      </c>
      <c r="I154">
        <v>1</v>
      </c>
    </row>
    <row r="155" spans="1:9" x14ac:dyDescent="0.3">
      <c r="A155" t="s">
        <v>127</v>
      </c>
      <c r="B155" t="s">
        <v>128</v>
      </c>
      <c r="C155" t="s">
        <v>28</v>
      </c>
      <c r="D155">
        <v>4750.32</v>
      </c>
      <c r="E155">
        <v>27</v>
      </c>
      <c r="F155" t="s">
        <v>24</v>
      </c>
      <c r="G155" t="s">
        <v>14</v>
      </c>
      <c r="H155" t="s">
        <v>15</v>
      </c>
      <c r="I155">
        <v>1</v>
      </c>
    </row>
    <row r="156" spans="1:9" x14ac:dyDescent="0.3">
      <c r="A156" t="s">
        <v>439</v>
      </c>
      <c r="B156" t="s">
        <v>440</v>
      </c>
      <c r="C156" t="s">
        <v>12</v>
      </c>
      <c r="D156">
        <v>2656.95</v>
      </c>
      <c r="E156">
        <v>9</v>
      </c>
      <c r="F156" t="s">
        <v>19</v>
      </c>
      <c r="G156" t="s">
        <v>14</v>
      </c>
      <c r="H156" t="s">
        <v>369</v>
      </c>
      <c r="I156">
        <v>0</v>
      </c>
    </row>
    <row r="157" spans="1:9" x14ac:dyDescent="0.3">
      <c r="A157" t="s">
        <v>396</v>
      </c>
      <c r="B157" t="s">
        <v>120</v>
      </c>
      <c r="C157" t="s">
        <v>28</v>
      </c>
      <c r="D157">
        <v>2041.42</v>
      </c>
      <c r="E157">
        <v>50</v>
      </c>
      <c r="F157" t="s">
        <v>49</v>
      </c>
      <c r="G157" t="s">
        <v>58</v>
      </c>
      <c r="H157" t="s">
        <v>615</v>
      </c>
      <c r="I157">
        <v>1</v>
      </c>
    </row>
    <row r="158" spans="1:9" x14ac:dyDescent="0.3">
      <c r="A158" t="s">
        <v>375</v>
      </c>
      <c r="B158" t="s">
        <v>308</v>
      </c>
      <c r="C158" t="s">
        <v>28</v>
      </c>
      <c r="D158">
        <v>112.59</v>
      </c>
      <c r="E158">
        <v>33</v>
      </c>
      <c r="F158" t="s">
        <v>24</v>
      </c>
      <c r="G158" t="s">
        <v>25</v>
      </c>
      <c r="H158" t="s">
        <v>615</v>
      </c>
      <c r="I158">
        <v>1</v>
      </c>
    </row>
    <row r="159" spans="1:9" x14ac:dyDescent="0.3">
      <c r="A159" t="s">
        <v>129</v>
      </c>
      <c r="B159" t="s">
        <v>102</v>
      </c>
      <c r="C159" t="s">
        <v>12</v>
      </c>
      <c r="D159">
        <v>81.3</v>
      </c>
      <c r="E159">
        <v>42</v>
      </c>
      <c r="F159" t="s">
        <v>24</v>
      </c>
      <c r="G159" t="s">
        <v>58</v>
      </c>
      <c r="H159" t="s">
        <v>15</v>
      </c>
      <c r="I159">
        <v>1</v>
      </c>
    </row>
    <row r="160" spans="1:9" x14ac:dyDescent="0.3">
      <c r="A160" t="s">
        <v>130</v>
      </c>
      <c r="B160" t="s">
        <v>48</v>
      </c>
      <c r="C160" t="s">
        <v>28</v>
      </c>
      <c r="D160">
        <v>4902.1499999999996</v>
      </c>
      <c r="E160">
        <v>32</v>
      </c>
      <c r="F160" t="s">
        <v>19</v>
      </c>
      <c r="G160" t="s">
        <v>14</v>
      </c>
      <c r="H160" t="s">
        <v>15</v>
      </c>
      <c r="I160">
        <v>0</v>
      </c>
    </row>
    <row r="161" spans="1:9" x14ac:dyDescent="0.3">
      <c r="A161" t="s">
        <v>441</v>
      </c>
      <c r="B161" t="s">
        <v>287</v>
      </c>
      <c r="C161" t="s">
        <v>23</v>
      </c>
      <c r="D161">
        <v>1516.46</v>
      </c>
      <c r="E161">
        <v>40</v>
      </c>
      <c r="F161" t="s">
        <v>24</v>
      </c>
      <c r="G161" t="s">
        <v>14</v>
      </c>
      <c r="H161" t="s">
        <v>369</v>
      </c>
      <c r="I161">
        <v>1</v>
      </c>
    </row>
    <row r="162" spans="1:9" x14ac:dyDescent="0.3">
      <c r="A162" t="s">
        <v>361</v>
      </c>
      <c r="B162" t="s">
        <v>442</v>
      </c>
      <c r="C162" t="s">
        <v>35</v>
      </c>
      <c r="D162">
        <v>849.35</v>
      </c>
      <c r="E162">
        <v>43</v>
      </c>
      <c r="F162" t="s">
        <v>19</v>
      </c>
      <c r="G162" t="s">
        <v>58</v>
      </c>
      <c r="H162" t="s">
        <v>369</v>
      </c>
      <c r="I162">
        <v>1</v>
      </c>
    </row>
    <row r="163" spans="1:9" x14ac:dyDescent="0.3">
      <c r="A163" t="s">
        <v>443</v>
      </c>
      <c r="B163" t="s">
        <v>429</v>
      </c>
      <c r="C163" t="s">
        <v>28</v>
      </c>
      <c r="D163">
        <v>2437.38</v>
      </c>
      <c r="E163">
        <v>36</v>
      </c>
      <c r="F163" t="s">
        <v>24</v>
      </c>
      <c r="G163" t="s">
        <v>58</v>
      </c>
      <c r="H163" t="s">
        <v>369</v>
      </c>
      <c r="I163">
        <v>1</v>
      </c>
    </row>
    <row r="164" spans="1:9" x14ac:dyDescent="0.3">
      <c r="A164" t="s">
        <v>153</v>
      </c>
      <c r="B164" t="s">
        <v>120</v>
      </c>
      <c r="C164" t="s">
        <v>12</v>
      </c>
      <c r="D164">
        <v>1057.1400000000001</v>
      </c>
      <c r="E164">
        <v>45</v>
      </c>
      <c r="F164" t="s">
        <v>24</v>
      </c>
      <c r="G164" t="s">
        <v>14</v>
      </c>
      <c r="H164" t="s">
        <v>369</v>
      </c>
      <c r="I164">
        <v>1</v>
      </c>
    </row>
    <row r="165" spans="1:9" x14ac:dyDescent="0.3">
      <c r="A165" t="s">
        <v>551</v>
      </c>
      <c r="B165" t="s">
        <v>291</v>
      </c>
      <c r="C165" t="s">
        <v>12</v>
      </c>
      <c r="D165">
        <v>4892.7</v>
      </c>
      <c r="E165">
        <v>4</v>
      </c>
      <c r="F165" t="s">
        <v>36</v>
      </c>
      <c r="G165" t="s">
        <v>29</v>
      </c>
      <c r="H165" t="s">
        <v>615</v>
      </c>
      <c r="I165">
        <v>1</v>
      </c>
    </row>
    <row r="166" spans="1:9" x14ac:dyDescent="0.3">
      <c r="A166" t="s">
        <v>361</v>
      </c>
      <c r="B166" t="s">
        <v>564</v>
      </c>
      <c r="C166" t="s">
        <v>23</v>
      </c>
      <c r="D166">
        <v>4587.8100000000004</v>
      </c>
      <c r="E166">
        <v>10</v>
      </c>
      <c r="F166" t="s">
        <v>13</v>
      </c>
      <c r="G166" t="s">
        <v>58</v>
      </c>
      <c r="H166" t="s">
        <v>615</v>
      </c>
      <c r="I166">
        <v>1</v>
      </c>
    </row>
    <row r="167" spans="1:9" x14ac:dyDescent="0.3">
      <c r="A167" t="s">
        <v>226</v>
      </c>
      <c r="B167" t="s">
        <v>69</v>
      </c>
      <c r="C167" t="s">
        <v>12</v>
      </c>
      <c r="D167">
        <v>3602.42</v>
      </c>
      <c r="E167">
        <v>5</v>
      </c>
      <c r="F167" t="s">
        <v>24</v>
      </c>
      <c r="G167" t="s">
        <v>58</v>
      </c>
      <c r="H167" t="s">
        <v>369</v>
      </c>
      <c r="I167">
        <v>1</v>
      </c>
    </row>
    <row r="168" spans="1:9" x14ac:dyDescent="0.3">
      <c r="A168" t="s">
        <v>191</v>
      </c>
      <c r="B168" t="s">
        <v>345</v>
      </c>
      <c r="C168" t="s">
        <v>35</v>
      </c>
      <c r="D168">
        <v>619.78</v>
      </c>
      <c r="E168">
        <v>26</v>
      </c>
      <c r="F168" t="s">
        <v>24</v>
      </c>
      <c r="G168" t="s">
        <v>58</v>
      </c>
      <c r="H168" t="s">
        <v>615</v>
      </c>
      <c r="I168">
        <v>0</v>
      </c>
    </row>
    <row r="169" spans="1:9" x14ac:dyDescent="0.3">
      <c r="A169" t="s">
        <v>131</v>
      </c>
      <c r="B169" t="s">
        <v>132</v>
      </c>
      <c r="C169" t="s">
        <v>28</v>
      </c>
      <c r="D169">
        <v>1527.83</v>
      </c>
      <c r="E169">
        <v>22</v>
      </c>
      <c r="F169" t="s">
        <v>13</v>
      </c>
      <c r="G169" t="s">
        <v>20</v>
      </c>
      <c r="H169" t="s">
        <v>15</v>
      </c>
      <c r="I169">
        <v>1</v>
      </c>
    </row>
    <row r="170" spans="1:9" x14ac:dyDescent="0.3">
      <c r="A170" t="s">
        <v>444</v>
      </c>
      <c r="B170" t="s">
        <v>445</v>
      </c>
      <c r="C170" t="s">
        <v>35</v>
      </c>
      <c r="D170">
        <v>2750.5</v>
      </c>
      <c r="E170">
        <v>4</v>
      </c>
      <c r="F170" t="s">
        <v>24</v>
      </c>
      <c r="G170" t="s">
        <v>46</v>
      </c>
      <c r="H170" t="s">
        <v>369</v>
      </c>
      <c r="I170">
        <v>0</v>
      </c>
    </row>
    <row r="171" spans="1:9" x14ac:dyDescent="0.3">
      <c r="A171" t="s">
        <v>386</v>
      </c>
      <c r="B171" t="s">
        <v>534</v>
      </c>
      <c r="C171" t="s">
        <v>35</v>
      </c>
      <c r="D171">
        <v>646.96</v>
      </c>
      <c r="E171">
        <v>26</v>
      </c>
      <c r="F171" t="s">
        <v>45</v>
      </c>
      <c r="G171" t="s">
        <v>58</v>
      </c>
      <c r="H171" t="s">
        <v>615</v>
      </c>
      <c r="I171">
        <v>1</v>
      </c>
    </row>
    <row r="172" spans="1:9" x14ac:dyDescent="0.3">
      <c r="A172" t="s">
        <v>245</v>
      </c>
      <c r="B172" t="s">
        <v>326</v>
      </c>
      <c r="C172" t="s">
        <v>28</v>
      </c>
      <c r="D172">
        <v>4885.75</v>
      </c>
      <c r="E172">
        <v>32</v>
      </c>
      <c r="F172" t="s">
        <v>45</v>
      </c>
      <c r="G172" t="s">
        <v>20</v>
      </c>
      <c r="H172" t="s">
        <v>369</v>
      </c>
      <c r="I172">
        <v>0</v>
      </c>
    </row>
    <row r="173" spans="1:9" x14ac:dyDescent="0.3">
      <c r="A173" t="s">
        <v>446</v>
      </c>
      <c r="B173" t="s">
        <v>104</v>
      </c>
      <c r="C173" t="s">
        <v>12</v>
      </c>
      <c r="D173">
        <v>4618.16</v>
      </c>
      <c r="E173">
        <v>35</v>
      </c>
      <c r="F173" t="s">
        <v>19</v>
      </c>
      <c r="G173" t="s">
        <v>25</v>
      </c>
      <c r="H173" t="s">
        <v>369</v>
      </c>
      <c r="I173">
        <v>0</v>
      </c>
    </row>
    <row r="174" spans="1:9" x14ac:dyDescent="0.3">
      <c r="A174" t="s">
        <v>447</v>
      </c>
      <c r="B174" t="s">
        <v>448</v>
      </c>
      <c r="C174" t="s">
        <v>35</v>
      </c>
      <c r="D174">
        <v>223.65</v>
      </c>
      <c r="E174">
        <v>50</v>
      </c>
      <c r="F174" t="s">
        <v>45</v>
      </c>
      <c r="G174" t="s">
        <v>14</v>
      </c>
      <c r="H174" t="s">
        <v>369</v>
      </c>
      <c r="I174">
        <v>1</v>
      </c>
    </row>
    <row r="175" spans="1:9" x14ac:dyDescent="0.3">
      <c r="A175" t="s">
        <v>123</v>
      </c>
      <c r="B175" t="s">
        <v>449</v>
      </c>
      <c r="C175" t="s">
        <v>23</v>
      </c>
      <c r="D175">
        <v>4486.8999999999996</v>
      </c>
      <c r="E175">
        <v>10</v>
      </c>
      <c r="F175" t="s">
        <v>45</v>
      </c>
      <c r="G175" t="s">
        <v>20</v>
      </c>
      <c r="H175" t="s">
        <v>369</v>
      </c>
      <c r="I175">
        <v>0</v>
      </c>
    </row>
    <row r="176" spans="1:9" x14ac:dyDescent="0.3">
      <c r="A176" t="s">
        <v>450</v>
      </c>
      <c r="B176" t="s">
        <v>451</v>
      </c>
      <c r="C176" t="s">
        <v>28</v>
      </c>
      <c r="D176">
        <v>4831.82</v>
      </c>
      <c r="E176">
        <v>13</v>
      </c>
      <c r="F176" t="s">
        <v>45</v>
      </c>
      <c r="G176" t="s">
        <v>20</v>
      </c>
      <c r="H176" t="s">
        <v>369</v>
      </c>
      <c r="I176">
        <v>0</v>
      </c>
    </row>
    <row r="177" spans="1:9" x14ac:dyDescent="0.3">
      <c r="A177" t="s">
        <v>133</v>
      </c>
      <c r="B177" t="s">
        <v>134</v>
      </c>
      <c r="C177" t="s">
        <v>12</v>
      </c>
      <c r="D177">
        <v>3609.61</v>
      </c>
      <c r="E177">
        <v>6</v>
      </c>
      <c r="F177" t="s">
        <v>13</v>
      </c>
      <c r="G177" t="s">
        <v>46</v>
      </c>
      <c r="H177" t="s">
        <v>15</v>
      </c>
      <c r="I177">
        <v>0</v>
      </c>
    </row>
    <row r="178" spans="1:9" x14ac:dyDescent="0.3">
      <c r="A178" t="s">
        <v>251</v>
      </c>
      <c r="B178" t="s">
        <v>368</v>
      </c>
      <c r="C178" t="s">
        <v>28</v>
      </c>
      <c r="D178">
        <v>3621.45</v>
      </c>
      <c r="E178">
        <v>20</v>
      </c>
      <c r="F178" t="s">
        <v>13</v>
      </c>
      <c r="G178" t="s">
        <v>14</v>
      </c>
      <c r="H178" t="s">
        <v>369</v>
      </c>
      <c r="I178">
        <v>1</v>
      </c>
    </row>
    <row r="179" spans="1:9" x14ac:dyDescent="0.3">
      <c r="A179" t="s">
        <v>135</v>
      </c>
      <c r="B179" t="s">
        <v>18</v>
      </c>
      <c r="C179" t="s">
        <v>23</v>
      </c>
      <c r="D179">
        <v>832.7</v>
      </c>
      <c r="E179">
        <v>41</v>
      </c>
      <c r="F179" t="s">
        <v>49</v>
      </c>
      <c r="G179" t="s">
        <v>25</v>
      </c>
      <c r="H179" t="s">
        <v>15</v>
      </c>
      <c r="I179">
        <v>0</v>
      </c>
    </row>
    <row r="180" spans="1:9" x14ac:dyDescent="0.3">
      <c r="A180" t="s">
        <v>136</v>
      </c>
      <c r="B180" t="s">
        <v>134</v>
      </c>
      <c r="C180" t="s">
        <v>28</v>
      </c>
      <c r="D180">
        <v>976.94</v>
      </c>
      <c r="E180">
        <v>49</v>
      </c>
      <c r="F180" t="s">
        <v>24</v>
      </c>
      <c r="G180" t="s">
        <v>58</v>
      </c>
      <c r="H180" t="s">
        <v>15</v>
      </c>
      <c r="I180">
        <v>1</v>
      </c>
    </row>
    <row r="181" spans="1:9" x14ac:dyDescent="0.3">
      <c r="A181" t="s">
        <v>135</v>
      </c>
      <c r="B181" t="s">
        <v>378</v>
      </c>
      <c r="C181" t="s">
        <v>28</v>
      </c>
      <c r="D181">
        <v>4663.4799999999996</v>
      </c>
      <c r="E181">
        <v>9</v>
      </c>
      <c r="F181" t="s">
        <v>24</v>
      </c>
      <c r="G181" t="s">
        <v>14</v>
      </c>
      <c r="H181" t="s">
        <v>369</v>
      </c>
      <c r="I181">
        <v>1</v>
      </c>
    </row>
    <row r="182" spans="1:9" x14ac:dyDescent="0.3">
      <c r="A182" t="s">
        <v>137</v>
      </c>
      <c r="B182" t="s">
        <v>138</v>
      </c>
      <c r="C182" t="s">
        <v>35</v>
      </c>
      <c r="D182">
        <v>2774.47</v>
      </c>
      <c r="E182">
        <v>6</v>
      </c>
      <c r="F182" t="s">
        <v>36</v>
      </c>
      <c r="G182" t="s">
        <v>20</v>
      </c>
      <c r="H182" t="s">
        <v>15</v>
      </c>
      <c r="I182">
        <v>1</v>
      </c>
    </row>
    <row r="183" spans="1:9" x14ac:dyDescent="0.3">
      <c r="A183" t="s">
        <v>31</v>
      </c>
      <c r="B183" t="s">
        <v>301</v>
      </c>
      <c r="C183" t="s">
        <v>23</v>
      </c>
      <c r="D183">
        <v>4693.09</v>
      </c>
      <c r="E183">
        <v>23</v>
      </c>
      <c r="F183" t="s">
        <v>24</v>
      </c>
      <c r="G183" t="s">
        <v>14</v>
      </c>
      <c r="H183" t="s">
        <v>369</v>
      </c>
      <c r="I183">
        <v>0</v>
      </c>
    </row>
    <row r="184" spans="1:9" x14ac:dyDescent="0.3">
      <c r="A184" t="s">
        <v>452</v>
      </c>
      <c r="B184" t="s">
        <v>442</v>
      </c>
      <c r="C184" t="s">
        <v>28</v>
      </c>
      <c r="D184">
        <v>3035.98</v>
      </c>
      <c r="E184">
        <v>37</v>
      </c>
      <c r="F184" t="s">
        <v>49</v>
      </c>
      <c r="G184" t="s">
        <v>14</v>
      </c>
      <c r="H184" t="s">
        <v>369</v>
      </c>
      <c r="I184">
        <v>1</v>
      </c>
    </row>
    <row r="185" spans="1:9" x14ac:dyDescent="0.3">
      <c r="A185" t="s">
        <v>453</v>
      </c>
      <c r="B185" t="s">
        <v>454</v>
      </c>
      <c r="C185" t="s">
        <v>35</v>
      </c>
      <c r="D185">
        <v>4254.3999999999996</v>
      </c>
      <c r="E185">
        <v>36</v>
      </c>
      <c r="F185" t="s">
        <v>13</v>
      </c>
      <c r="G185" t="s">
        <v>14</v>
      </c>
      <c r="H185" t="s">
        <v>369</v>
      </c>
      <c r="I185">
        <v>1</v>
      </c>
    </row>
    <row r="186" spans="1:9" x14ac:dyDescent="0.3">
      <c r="A186" t="s">
        <v>455</v>
      </c>
      <c r="B186" t="s">
        <v>413</v>
      </c>
      <c r="C186" t="s">
        <v>23</v>
      </c>
      <c r="D186">
        <v>3089.66</v>
      </c>
      <c r="E186">
        <v>31</v>
      </c>
      <c r="F186" t="s">
        <v>45</v>
      </c>
      <c r="G186" t="s">
        <v>58</v>
      </c>
      <c r="H186" t="s">
        <v>369</v>
      </c>
      <c r="I186">
        <v>1</v>
      </c>
    </row>
    <row r="187" spans="1:9" x14ac:dyDescent="0.3">
      <c r="A187" t="s">
        <v>139</v>
      </c>
      <c r="B187" t="s">
        <v>140</v>
      </c>
      <c r="C187" t="s">
        <v>12</v>
      </c>
      <c r="D187">
        <v>1906.68</v>
      </c>
      <c r="E187">
        <v>38</v>
      </c>
      <c r="F187" t="s">
        <v>45</v>
      </c>
      <c r="G187" t="s">
        <v>20</v>
      </c>
      <c r="H187" t="s">
        <v>15</v>
      </c>
      <c r="I187">
        <v>1</v>
      </c>
    </row>
    <row r="188" spans="1:9" x14ac:dyDescent="0.3">
      <c r="A188" t="s">
        <v>456</v>
      </c>
      <c r="B188" t="s">
        <v>457</v>
      </c>
      <c r="C188" t="s">
        <v>12</v>
      </c>
      <c r="D188">
        <v>502.44</v>
      </c>
      <c r="E188">
        <v>1</v>
      </c>
      <c r="F188" t="s">
        <v>45</v>
      </c>
      <c r="G188" t="s">
        <v>25</v>
      </c>
      <c r="H188" t="s">
        <v>369</v>
      </c>
      <c r="I188">
        <v>1</v>
      </c>
    </row>
    <row r="189" spans="1:9" x14ac:dyDescent="0.3">
      <c r="A189" t="s">
        <v>458</v>
      </c>
      <c r="B189" t="s">
        <v>267</v>
      </c>
      <c r="C189" t="s">
        <v>23</v>
      </c>
      <c r="D189">
        <v>3608.64</v>
      </c>
      <c r="E189">
        <v>7</v>
      </c>
      <c r="F189" t="s">
        <v>24</v>
      </c>
      <c r="G189" t="s">
        <v>46</v>
      </c>
      <c r="H189" t="s">
        <v>369</v>
      </c>
      <c r="I189">
        <v>0</v>
      </c>
    </row>
    <row r="190" spans="1:9" x14ac:dyDescent="0.3">
      <c r="A190" t="s">
        <v>129</v>
      </c>
      <c r="B190" t="s">
        <v>141</v>
      </c>
      <c r="C190" t="s">
        <v>23</v>
      </c>
      <c r="D190">
        <v>494.62</v>
      </c>
      <c r="E190">
        <v>31</v>
      </c>
      <c r="F190" t="s">
        <v>13</v>
      </c>
      <c r="G190" t="s">
        <v>29</v>
      </c>
      <c r="H190" t="s">
        <v>15</v>
      </c>
      <c r="I190">
        <v>0</v>
      </c>
    </row>
    <row r="191" spans="1:9" x14ac:dyDescent="0.3">
      <c r="A191" t="s">
        <v>142</v>
      </c>
      <c r="B191" t="s">
        <v>143</v>
      </c>
      <c r="C191" t="s">
        <v>28</v>
      </c>
      <c r="D191">
        <v>2466.7399999999998</v>
      </c>
      <c r="E191">
        <v>30</v>
      </c>
      <c r="F191" t="s">
        <v>45</v>
      </c>
      <c r="G191" t="s">
        <v>29</v>
      </c>
      <c r="H191" t="s">
        <v>15</v>
      </c>
      <c r="I191">
        <v>1</v>
      </c>
    </row>
    <row r="192" spans="1:9" x14ac:dyDescent="0.3">
      <c r="A192" t="s">
        <v>230</v>
      </c>
      <c r="B192" t="s">
        <v>661</v>
      </c>
      <c r="C192" t="s">
        <v>35</v>
      </c>
      <c r="D192">
        <v>219.34</v>
      </c>
      <c r="E192">
        <v>6</v>
      </c>
      <c r="F192" t="s">
        <v>19</v>
      </c>
      <c r="G192" t="s">
        <v>29</v>
      </c>
      <c r="H192" t="s">
        <v>615</v>
      </c>
      <c r="I192">
        <v>1</v>
      </c>
    </row>
    <row r="193" spans="1:9" x14ac:dyDescent="0.3">
      <c r="A193" t="s">
        <v>662</v>
      </c>
      <c r="B193" t="s">
        <v>663</v>
      </c>
      <c r="C193" t="s">
        <v>12</v>
      </c>
      <c r="D193">
        <v>4486.42</v>
      </c>
      <c r="E193">
        <v>23</v>
      </c>
      <c r="F193" t="s">
        <v>13</v>
      </c>
      <c r="G193" t="s">
        <v>20</v>
      </c>
      <c r="H193" t="s">
        <v>615</v>
      </c>
      <c r="I193">
        <v>0</v>
      </c>
    </row>
    <row r="194" spans="1:9" x14ac:dyDescent="0.3">
      <c r="A194" t="s">
        <v>414</v>
      </c>
      <c r="B194" t="s">
        <v>664</v>
      </c>
      <c r="C194" t="s">
        <v>28</v>
      </c>
      <c r="D194">
        <v>4726.66</v>
      </c>
      <c r="E194">
        <v>11</v>
      </c>
      <c r="F194" t="s">
        <v>19</v>
      </c>
      <c r="G194" t="s">
        <v>29</v>
      </c>
      <c r="H194" t="s">
        <v>615</v>
      </c>
      <c r="I194">
        <v>1</v>
      </c>
    </row>
    <row r="195" spans="1:9" x14ac:dyDescent="0.3">
      <c r="A195" t="s">
        <v>159</v>
      </c>
      <c r="B195" t="s">
        <v>647</v>
      </c>
      <c r="C195" t="s">
        <v>23</v>
      </c>
      <c r="D195">
        <v>1670.26</v>
      </c>
      <c r="E195">
        <v>26</v>
      </c>
      <c r="F195" t="s">
        <v>49</v>
      </c>
      <c r="G195" t="s">
        <v>14</v>
      </c>
      <c r="H195" t="s">
        <v>615</v>
      </c>
      <c r="I195">
        <v>0</v>
      </c>
    </row>
    <row r="196" spans="1:9" x14ac:dyDescent="0.3">
      <c r="A196" t="s">
        <v>510</v>
      </c>
      <c r="B196" t="s">
        <v>543</v>
      </c>
      <c r="C196" t="s">
        <v>35</v>
      </c>
      <c r="D196">
        <v>1601.38</v>
      </c>
      <c r="E196">
        <v>6</v>
      </c>
      <c r="F196" t="s">
        <v>45</v>
      </c>
      <c r="G196" t="s">
        <v>20</v>
      </c>
      <c r="H196" t="s">
        <v>615</v>
      </c>
      <c r="I196">
        <v>1</v>
      </c>
    </row>
    <row r="197" spans="1:9" x14ac:dyDescent="0.3">
      <c r="A197" t="s">
        <v>459</v>
      </c>
      <c r="B197" t="s">
        <v>460</v>
      </c>
      <c r="C197" t="s">
        <v>23</v>
      </c>
      <c r="D197">
        <v>1166.32</v>
      </c>
      <c r="E197">
        <v>20</v>
      </c>
      <c r="F197" t="s">
        <v>36</v>
      </c>
      <c r="G197" t="s">
        <v>14</v>
      </c>
      <c r="H197" t="s">
        <v>369</v>
      </c>
      <c r="I197">
        <v>0</v>
      </c>
    </row>
    <row r="198" spans="1:9" x14ac:dyDescent="0.3">
      <c r="A198" t="s">
        <v>665</v>
      </c>
      <c r="B198" t="s">
        <v>69</v>
      </c>
      <c r="C198" t="s">
        <v>35</v>
      </c>
      <c r="D198">
        <v>155.58000000000001</v>
      </c>
      <c r="E198">
        <v>20</v>
      </c>
      <c r="F198" t="s">
        <v>49</v>
      </c>
      <c r="G198" t="s">
        <v>14</v>
      </c>
      <c r="H198" t="s">
        <v>615</v>
      </c>
      <c r="I198">
        <v>0</v>
      </c>
    </row>
    <row r="199" spans="1:9" x14ac:dyDescent="0.3">
      <c r="A199" t="s">
        <v>666</v>
      </c>
      <c r="B199" t="s">
        <v>667</v>
      </c>
      <c r="C199" t="s">
        <v>35</v>
      </c>
      <c r="D199">
        <v>4340.29</v>
      </c>
      <c r="E199">
        <v>50</v>
      </c>
      <c r="F199" t="s">
        <v>36</v>
      </c>
      <c r="G199" t="s">
        <v>25</v>
      </c>
      <c r="H199" t="s">
        <v>615</v>
      </c>
      <c r="I199">
        <v>1</v>
      </c>
    </row>
    <row r="200" spans="1:9" x14ac:dyDescent="0.3">
      <c r="A200" t="s">
        <v>144</v>
      </c>
      <c r="B200" t="s">
        <v>145</v>
      </c>
      <c r="C200" t="s">
        <v>35</v>
      </c>
      <c r="D200">
        <v>3955.61</v>
      </c>
      <c r="E200">
        <v>41</v>
      </c>
      <c r="F200" t="s">
        <v>13</v>
      </c>
      <c r="G200" t="s">
        <v>58</v>
      </c>
      <c r="H200" t="s">
        <v>15</v>
      </c>
      <c r="I200">
        <v>1</v>
      </c>
    </row>
    <row r="201" spans="1:9" x14ac:dyDescent="0.3">
      <c r="A201" t="s">
        <v>74</v>
      </c>
      <c r="B201" t="s">
        <v>146</v>
      </c>
      <c r="C201" t="s">
        <v>23</v>
      </c>
      <c r="D201">
        <v>4741.24</v>
      </c>
      <c r="E201">
        <v>23</v>
      </c>
      <c r="F201" t="s">
        <v>49</v>
      </c>
      <c r="G201" t="s">
        <v>25</v>
      </c>
      <c r="H201" t="s">
        <v>15</v>
      </c>
      <c r="I201">
        <v>1</v>
      </c>
    </row>
    <row r="202" spans="1:9" x14ac:dyDescent="0.3">
      <c r="A202" t="s">
        <v>147</v>
      </c>
      <c r="B202" t="s">
        <v>148</v>
      </c>
      <c r="C202" t="s">
        <v>12</v>
      </c>
      <c r="D202">
        <v>2952.05</v>
      </c>
      <c r="E202">
        <v>24</v>
      </c>
      <c r="F202" t="s">
        <v>49</v>
      </c>
      <c r="G202" t="s">
        <v>29</v>
      </c>
      <c r="H202" t="s">
        <v>15</v>
      </c>
      <c r="I202">
        <v>0</v>
      </c>
    </row>
    <row r="203" spans="1:9" x14ac:dyDescent="0.3">
      <c r="A203" t="s">
        <v>306</v>
      </c>
      <c r="B203" t="s">
        <v>270</v>
      </c>
      <c r="C203" t="s">
        <v>35</v>
      </c>
      <c r="D203">
        <v>674.95</v>
      </c>
      <c r="E203">
        <v>34</v>
      </c>
      <c r="F203" t="s">
        <v>45</v>
      </c>
      <c r="G203" t="s">
        <v>14</v>
      </c>
      <c r="H203" t="s">
        <v>615</v>
      </c>
      <c r="I203">
        <v>1</v>
      </c>
    </row>
    <row r="204" spans="1:9" x14ac:dyDescent="0.3">
      <c r="A204" t="s">
        <v>461</v>
      </c>
      <c r="B204" t="s">
        <v>462</v>
      </c>
      <c r="C204" t="s">
        <v>12</v>
      </c>
      <c r="D204">
        <v>4807.79</v>
      </c>
      <c r="E204">
        <v>14</v>
      </c>
      <c r="F204" t="s">
        <v>24</v>
      </c>
      <c r="G204" t="s">
        <v>58</v>
      </c>
      <c r="H204" t="s">
        <v>369</v>
      </c>
      <c r="I204">
        <v>0</v>
      </c>
    </row>
    <row r="205" spans="1:9" x14ac:dyDescent="0.3">
      <c r="A205" t="s">
        <v>668</v>
      </c>
      <c r="B205" t="s">
        <v>397</v>
      </c>
      <c r="C205" t="s">
        <v>35</v>
      </c>
      <c r="D205">
        <v>1622.39</v>
      </c>
      <c r="E205">
        <v>15</v>
      </c>
      <c r="F205" t="s">
        <v>13</v>
      </c>
      <c r="G205" t="s">
        <v>20</v>
      </c>
      <c r="H205" t="s">
        <v>615</v>
      </c>
      <c r="I205">
        <v>0</v>
      </c>
    </row>
    <row r="206" spans="1:9" x14ac:dyDescent="0.3">
      <c r="A206" t="s">
        <v>149</v>
      </c>
      <c r="B206" t="s">
        <v>150</v>
      </c>
      <c r="C206" t="s">
        <v>28</v>
      </c>
      <c r="D206">
        <v>1674.73</v>
      </c>
      <c r="E206">
        <v>33</v>
      </c>
      <c r="F206" t="s">
        <v>49</v>
      </c>
      <c r="G206" t="s">
        <v>58</v>
      </c>
      <c r="H206" t="s">
        <v>15</v>
      </c>
      <c r="I206">
        <v>0</v>
      </c>
    </row>
    <row r="207" spans="1:9" x14ac:dyDescent="0.3">
      <c r="A207" t="s">
        <v>151</v>
      </c>
      <c r="B207" t="s">
        <v>152</v>
      </c>
      <c r="C207" t="s">
        <v>28</v>
      </c>
      <c r="D207">
        <v>3819.01</v>
      </c>
      <c r="E207">
        <v>19</v>
      </c>
      <c r="F207" t="s">
        <v>36</v>
      </c>
      <c r="G207" t="s">
        <v>58</v>
      </c>
      <c r="H207" t="s">
        <v>15</v>
      </c>
      <c r="I207">
        <v>1</v>
      </c>
    </row>
    <row r="208" spans="1:9" x14ac:dyDescent="0.3">
      <c r="A208" t="s">
        <v>463</v>
      </c>
      <c r="B208" t="s">
        <v>57</v>
      </c>
      <c r="C208" t="s">
        <v>12</v>
      </c>
      <c r="D208">
        <v>4926.08</v>
      </c>
      <c r="E208">
        <v>36</v>
      </c>
      <c r="F208" t="s">
        <v>45</v>
      </c>
      <c r="G208" t="s">
        <v>20</v>
      </c>
      <c r="H208" t="s">
        <v>369</v>
      </c>
      <c r="I208">
        <v>0</v>
      </c>
    </row>
    <row r="209" spans="1:9" x14ac:dyDescent="0.3">
      <c r="A209" t="s">
        <v>314</v>
      </c>
      <c r="B209" t="s">
        <v>464</v>
      </c>
      <c r="C209" t="s">
        <v>35</v>
      </c>
      <c r="D209">
        <v>3442.26</v>
      </c>
      <c r="E209">
        <v>34</v>
      </c>
      <c r="F209" t="s">
        <v>49</v>
      </c>
      <c r="G209" t="s">
        <v>14</v>
      </c>
      <c r="H209" t="s">
        <v>369</v>
      </c>
      <c r="I209">
        <v>0</v>
      </c>
    </row>
    <row r="210" spans="1:9" x14ac:dyDescent="0.3">
      <c r="A210" t="s">
        <v>153</v>
      </c>
      <c r="B210" t="s">
        <v>154</v>
      </c>
      <c r="C210" t="s">
        <v>35</v>
      </c>
      <c r="D210">
        <v>4766.79</v>
      </c>
      <c r="E210">
        <v>31</v>
      </c>
      <c r="F210" t="s">
        <v>36</v>
      </c>
      <c r="G210" t="s">
        <v>14</v>
      </c>
      <c r="H210" t="s">
        <v>15</v>
      </c>
      <c r="I210">
        <v>1</v>
      </c>
    </row>
    <row r="211" spans="1:9" x14ac:dyDescent="0.3">
      <c r="A211" t="s">
        <v>465</v>
      </c>
      <c r="B211" t="s">
        <v>466</v>
      </c>
      <c r="C211" t="s">
        <v>12</v>
      </c>
      <c r="D211">
        <v>2341.8000000000002</v>
      </c>
      <c r="E211">
        <v>37</v>
      </c>
      <c r="F211" t="s">
        <v>24</v>
      </c>
      <c r="G211" t="s">
        <v>20</v>
      </c>
      <c r="H211" t="s">
        <v>369</v>
      </c>
      <c r="I211">
        <v>1</v>
      </c>
    </row>
    <row r="212" spans="1:9" x14ac:dyDescent="0.3">
      <c r="A212" t="s">
        <v>155</v>
      </c>
      <c r="B212" t="s">
        <v>156</v>
      </c>
      <c r="C212" t="s">
        <v>35</v>
      </c>
      <c r="D212">
        <v>2378.0500000000002</v>
      </c>
      <c r="E212">
        <v>3</v>
      </c>
      <c r="F212" t="s">
        <v>45</v>
      </c>
      <c r="G212" t="s">
        <v>29</v>
      </c>
      <c r="H212" t="s">
        <v>15</v>
      </c>
      <c r="I212">
        <v>1</v>
      </c>
    </row>
    <row r="213" spans="1:9" x14ac:dyDescent="0.3">
      <c r="A213" t="s">
        <v>604</v>
      </c>
      <c r="B213" t="s">
        <v>552</v>
      </c>
      <c r="C213" t="s">
        <v>12</v>
      </c>
      <c r="D213">
        <v>3912.01</v>
      </c>
      <c r="E213">
        <v>19</v>
      </c>
      <c r="F213" t="s">
        <v>45</v>
      </c>
      <c r="G213" t="s">
        <v>20</v>
      </c>
      <c r="H213" t="s">
        <v>615</v>
      </c>
      <c r="I213">
        <v>1</v>
      </c>
    </row>
    <row r="214" spans="1:9" x14ac:dyDescent="0.3">
      <c r="A214" t="s">
        <v>157</v>
      </c>
      <c r="B214" t="s">
        <v>158</v>
      </c>
      <c r="C214" t="s">
        <v>12</v>
      </c>
      <c r="D214">
        <v>3926.65</v>
      </c>
      <c r="E214">
        <v>47</v>
      </c>
      <c r="F214" t="s">
        <v>49</v>
      </c>
      <c r="G214" t="s">
        <v>46</v>
      </c>
      <c r="H214" t="s">
        <v>15</v>
      </c>
      <c r="I214">
        <v>0</v>
      </c>
    </row>
    <row r="215" spans="1:9" x14ac:dyDescent="0.3">
      <c r="A215" t="s">
        <v>159</v>
      </c>
      <c r="B215" t="s">
        <v>160</v>
      </c>
      <c r="C215" t="s">
        <v>23</v>
      </c>
      <c r="D215">
        <v>4999.13</v>
      </c>
      <c r="E215">
        <v>42</v>
      </c>
      <c r="F215" t="s">
        <v>19</v>
      </c>
      <c r="G215" t="s">
        <v>25</v>
      </c>
      <c r="H215" t="s">
        <v>15</v>
      </c>
      <c r="I215">
        <v>1</v>
      </c>
    </row>
    <row r="216" spans="1:9" x14ac:dyDescent="0.3">
      <c r="A216" t="s">
        <v>161</v>
      </c>
      <c r="B216" t="s">
        <v>162</v>
      </c>
      <c r="C216" t="s">
        <v>35</v>
      </c>
      <c r="D216">
        <v>557.27</v>
      </c>
      <c r="E216">
        <v>15</v>
      </c>
      <c r="F216" t="s">
        <v>13</v>
      </c>
      <c r="G216" t="s">
        <v>29</v>
      </c>
      <c r="H216" t="s">
        <v>15</v>
      </c>
      <c r="I216">
        <v>1</v>
      </c>
    </row>
    <row r="217" spans="1:9" x14ac:dyDescent="0.3">
      <c r="A217" t="s">
        <v>223</v>
      </c>
      <c r="B217" t="s">
        <v>363</v>
      </c>
      <c r="C217" t="s">
        <v>28</v>
      </c>
      <c r="D217">
        <v>2285.5</v>
      </c>
      <c r="E217">
        <v>36</v>
      </c>
      <c r="F217" t="s">
        <v>24</v>
      </c>
      <c r="G217" t="s">
        <v>58</v>
      </c>
      <c r="H217" t="s">
        <v>615</v>
      </c>
      <c r="I217">
        <v>1</v>
      </c>
    </row>
    <row r="218" spans="1:9" x14ac:dyDescent="0.3">
      <c r="A218" t="s">
        <v>163</v>
      </c>
      <c r="B218" t="s">
        <v>164</v>
      </c>
      <c r="C218" t="s">
        <v>28</v>
      </c>
      <c r="D218">
        <v>1376.96</v>
      </c>
      <c r="E218">
        <v>18</v>
      </c>
      <c r="F218" t="s">
        <v>45</v>
      </c>
      <c r="G218" t="s">
        <v>20</v>
      </c>
      <c r="H218" t="s">
        <v>15</v>
      </c>
      <c r="I218">
        <v>1</v>
      </c>
    </row>
    <row r="219" spans="1:9" x14ac:dyDescent="0.3">
      <c r="A219" t="s">
        <v>391</v>
      </c>
      <c r="B219" t="s">
        <v>177</v>
      </c>
      <c r="C219" t="s">
        <v>28</v>
      </c>
      <c r="D219">
        <v>3648.88</v>
      </c>
      <c r="E219">
        <v>8</v>
      </c>
      <c r="F219" t="s">
        <v>19</v>
      </c>
      <c r="G219" t="s">
        <v>29</v>
      </c>
      <c r="H219" t="s">
        <v>615</v>
      </c>
      <c r="I219">
        <v>1</v>
      </c>
    </row>
    <row r="220" spans="1:9" x14ac:dyDescent="0.3">
      <c r="A220" t="s">
        <v>165</v>
      </c>
      <c r="B220" t="s">
        <v>166</v>
      </c>
      <c r="C220" t="s">
        <v>12</v>
      </c>
      <c r="D220">
        <v>1968.76</v>
      </c>
      <c r="E220">
        <v>30</v>
      </c>
      <c r="F220" t="s">
        <v>13</v>
      </c>
      <c r="G220" t="s">
        <v>14</v>
      </c>
      <c r="H220" t="s">
        <v>15</v>
      </c>
      <c r="I220">
        <v>0</v>
      </c>
    </row>
    <row r="221" spans="1:9" x14ac:dyDescent="0.3">
      <c r="A221" t="s">
        <v>467</v>
      </c>
      <c r="B221" t="s">
        <v>468</v>
      </c>
      <c r="C221" t="s">
        <v>12</v>
      </c>
      <c r="D221">
        <v>3946.03</v>
      </c>
      <c r="E221">
        <v>39</v>
      </c>
      <c r="F221" t="s">
        <v>13</v>
      </c>
      <c r="G221" t="s">
        <v>20</v>
      </c>
      <c r="H221" t="s">
        <v>369</v>
      </c>
      <c r="I221">
        <v>1</v>
      </c>
    </row>
    <row r="222" spans="1:9" x14ac:dyDescent="0.3">
      <c r="A222" t="s">
        <v>669</v>
      </c>
      <c r="B222" t="s">
        <v>670</v>
      </c>
      <c r="C222" t="s">
        <v>23</v>
      </c>
      <c r="D222">
        <v>1793.12</v>
      </c>
      <c r="E222">
        <v>27</v>
      </c>
      <c r="F222" t="s">
        <v>36</v>
      </c>
      <c r="G222" t="s">
        <v>14</v>
      </c>
      <c r="H222" t="s">
        <v>615</v>
      </c>
      <c r="I222">
        <v>0</v>
      </c>
    </row>
    <row r="223" spans="1:9" x14ac:dyDescent="0.3">
      <c r="A223" t="s">
        <v>469</v>
      </c>
      <c r="B223" t="s">
        <v>470</v>
      </c>
      <c r="C223" t="s">
        <v>12</v>
      </c>
      <c r="D223">
        <v>302.49</v>
      </c>
      <c r="E223">
        <v>16</v>
      </c>
      <c r="F223" t="s">
        <v>36</v>
      </c>
      <c r="G223" t="s">
        <v>29</v>
      </c>
      <c r="H223" t="s">
        <v>369</v>
      </c>
      <c r="I223">
        <v>1</v>
      </c>
    </row>
    <row r="224" spans="1:9" x14ac:dyDescent="0.3">
      <c r="A224" t="s">
        <v>167</v>
      </c>
      <c r="B224" t="s">
        <v>168</v>
      </c>
      <c r="C224" t="s">
        <v>12</v>
      </c>
      <c r="D224">
        <v>4640.4799999999996</v>
      </c>
      <c r="E224">
        <v>33</v>
      </c>
      <c r="F224" t="s">
        <v>45</v>
      </c>
      <c r="G224" t="s">
        <v>25</v>
      </c>
      <c r="H224" t="s">
        <v>15</v>
      </c>
      <c r="I224">
        <v>0</v>
      </c>
    </row>
    <row r="225" spans="1:9" x14ac:dyDescent="0.3">
      <c r="A225" t="s">
        <v>169</v>
      </c>
      <c r="B225" t="s">
        <v>170</v>
      </c>
      <c r="C225" t="s">
        <v>12</v>
      </c>
      <c r="D225">
        <v>2319.9</v>
      </c>
      <c r="E225">
        <v>10</v>
      </c>
      <c r="F225" t="s">
        <v>36</v>
      </c>
      <c r="G225" t="s">
        <v>46</v>
      </c>
      <c r="H225" t="s">
        <v>15</v>
      </c>
      <c r="I225">
        <v>0</v>
      </c>
    </row>
    <row r="226" spans="1:9" x14ac:dyDescent="0.3">
      <c r="A226" t="s">
        <v>161</v>
      </c>
      <c r="B226" t="s">
        <v>671</v>
      </c>
      <c r="C226" t="s">
        <v>12</v>
      </c>
      <c r="D226">
        <v>3722.33</v>
      </c>
      <c r="E226">
        <v>14</v>
      </c>
      <c r="F226" t="s">
        <v>36</v>
      </c>
      <c r="G226" t="s">
        <v>29</v>
      </c>
      <c r="H226" t="s">
        <v>615</v>
      </c>
      <c r="I226">
        <v>0</v>
      </c>
    </row>
    <row r="227" spans="1:9" x14ac:dyDescent="0.3">
      <c r="A227" t="s">
        <v>471</v>
      </c>
      <c r="B227" t="s">
        <v>472</v>
      </c>
      <c r="C227" t="s">
        <v>28</v>
      </c>
      <c r="D227">
        <v>4011.97</v>
      </c>
      <c r="E227">
        <v>9</v>
      </c>
      <c r="F227" t="s">
        <v>49</v>
      </c>
      <c r="G227" t="s">
        <v>20</v>
      </c>
      <c r="H227" t="s">
        <v>369</v>
      </c>
      <c r="I227">
        <v>0</v>
      </c>
    </row>
    <row r="228" spans="1:9" x14ac:dyDescent="0.3">
      <c r="A228" t="s">
        <v>473</v>
      </c>
      <c r="B228" t="s">
        <v>474</v>
      </c>
      <c r="C228" t="s">
        <v>23</v>
      </c>
      <c r="D228">
        <v>3422.52</v>
      </c>
      <c r="E228">
        <v>38</v>
      </c>
      <c r="F228" t="s">
        <v>13</v>
      </c>
      <c r="G228" t="s">
        <v>20</v>
      </c>
      <c r="H228" t="s">
        <v>369</v>
      </c>
      <c r="I228">
        <v>1</v>
      </c>
    </row>
    <row r="229" spans="1:9" x14ac:dyDescent="0.3">
      <c r="A229" t="s">
        <v>171</v>
      </c>
      <c r="B229" t="s">
        <v>172</v>
      </c>
      <c r="C229" t="s">
        <v>23</v>
      </c>
      <c r="D229">
        <v>166.39</v>
      </c>
      <c r="E229">
        <v>29</v>
      </c>
      <c r="F229" t="s">
        <v>49</v>
      </c>
      <c r="G229" t="s">
        <v>58</v>
      </c>
      <c r="H229" t="s">
        <v>15</v>
      </c>
      <c r="I229">
        <v>1</v>
      </c>
    </row>
    <row r="230" spans="1:9" x14ac:dyDescent="0.3">
      <c r="A230" t="s">
        <v>672</v>
      </c>
      <c r="B230" t="s">
        <v>673</v>
      </c>
      <c r="C230" t="s">
        <v>28</v>
      </c>
      <c r="D230">
        <v>1620.14</v>
      </c>
      <c r="E230">
        <v>40</v>
      </c>
      <c r="F230" t="s">
        <v>24</v>
      </c>
      <c r="G230" t="s">
        <v>46</v>
      </c>
      <c r="H230" t="s">
        <v>615</v>
      </c>
      <c r="I230">
        <v>0</v>
      </c>
    </row>
    <row r="231" spans="1:9" x14ac:dyDescent="0.3">
      <c r="A231" t="s">
        <v>674</v>
      </c>
      <c r="B231" t="s">
        <v>500</v>
      </c>
      <c r="C231" t="s">
        <v>23</v>
      </c>
      <c r="D231">
        <v>4330.32</v>
      </c>
      <c r="E231">
        <v>44</v>
      </c>
      <c r="F231" t="s">
        <v>24</v>
      </c>
      <c r="G231" t="s">
        <v>20</v>
      </c>
      <c r="H231" t="s">
        <v>615</v>
      </c>
      <c r="I231">
        <v>0</v>
      </c>
    </row>
    <row r="232" spans="1:9" x14ac:dyDescent="0.3">
      <c r="A232" t="s">
        <v>475</v>
      </c>
      <c r="B232" t="s">
        <v>61</v>
      </c>
      <c r="C232" t="s">
        <v>12</v>
      </c>
      <c r="D232">
        <v>189.58</v>
      </c>
      <c r="E232">
        <v>40</v>
      </c>
      <c r="F232" t="s">
        <v>49</v>
      </c>
      <c r="G232" t="s">
        <v>46</v>
      </c>
      <c r="H232" t="s">
        <v>369</v>
      </c>
      <c r="I232">
        <v>1</v>
      </c>
    </row>
    <row r="233" spans="1:9" x14ac:dyDescent="0.3">
      <c r="A233" t="s">
        <v>675</v>
      </c>
      <c r="B233" t="s">
        <v>27</v>
      </c>
      <c r="C233" t="s">
        <v>12</v>
      </c>
      <c r="D233">
        <v>2813.12</v>
      </c>
      <c r="E233">
        <v>1</v>
      </c>
      <c r="F233" t="s">
        <v>45</v>
      </c>
      <c r="G233" t="s">
        <v>58</v>
      </c>
      <c r="H233" t="s">
        <v>615</v>
      </c>
      <c r="I233">
        <v>1</v>
      </c>
    </row>
    <row r="234" spans="1:9" x14ac:dyDescent="0.3">
      <c r="A234" t="s">
        <v>275</v>
      </c>
      <c r="B234" t="s">
        <v>676</v>
      </c>
      <c r="C234" t="s">
        <v>12</v>
      </c>
      <c r="D234">
        <v>2449.41</v>
      </c>
      <c r="E234">
        <v>46</v>
      </c>
      <c r="F234" t="s">
        <v>45</v>
      </c>
      <c r="G234" t="s">
        <v>29</v>
      </c>
      <c r="H234" t="s">
        <v>615</v>
      </c>
      <c r="I234">
        <v>1</v>
      </c>
    </row>
    <row r="235" spans="1:9" x14ac:dyDescent="0.3">
      <c r="A235" t="s">
        <v>200</v>
      </c>
      <c r="B235" t="s">
        <v>321</v>
      </c>
      <c r="C235" t="s">
        <v>35</v>
      </c>
      <c r="D235">
        <v>282.17</v>
      </c>
      <c r="E235">
        <v>8</v>
      </c>
      <c r="F235" t="s">
        <v>45</v>
      </c>
      <c r="G235" t="s">
        <v>58</v>
      </c>
      <c r="H235" t="s">
        <v>369</v>
      </c>
      <c r="I235">
        <v>0</v>
      </c>
    </row>
    <row r="236" spans="1:9" x14ac:dyDescent="0.3">
      <c r="A236" t="s">
        <v>173</v>
      </c>
      <c r="B236" t="s">
        <v>174</v>
      </c>
      <c r="C236" t="s">
        <v>12</v>
      </c>
      <c r="D236">
        <v>4637.26</v>
      </c>
      <c r="E236">
        <v>1</v>
      </c>
      <c r="F236" t="s">
        <v>45</v>
      </c>
      <c r="G236" t="s">
        <v>29</v>
      </c>
      <c r="H236" t="s">
        <v>15</v>
      </c>
      <c r="I236">
        <v>1</v>
      </c>
    </row>
    <row r="237" spans="1:9" x14ac:dyDescent="0.3">
      <c r="A237" t="s">
        <v>677</v>
      </c>
      <c r="B237" t="s">
        <v>566</v>
      </c>
      <c r="C237" t="s">
        <v>35</v>
      </c>
      <c r="D237">
        <v>3656.94</v>
      </c>
      <c r="E237">
        <v>37</v>
      </c>
      <c r="F237" t="s">
        <v>45</v>
      </c>
      <c r="G237" t="s">
        <v>29</v>
      </c>
      <c r="H237" t="s">
        <v>615</v>
      </c>
      <c r="I237">
        <v>0</v>
      </c>
    </row>
    <row r="238" spans="1:9" x14ac:dyDescent="0.3">
      <c r="A238" t="s">
        <v>175</v>
      </c>
      <c r="B238" t="s">
        <v>176</v>
      </c>
      <c r="C238" t="s">
        <v>23</v>
      </c>
      <c r="D238">
        <v>12.02</v>
      </c>
      <c r="E238">
        <v>8</v>
      </c>
      <c r="F238" t="s">
        <v>45</v>
      </c>
      <c r="G238" t="s">
        <v>25</v>
      </c>
      <c r="H238" t="s">
        <v>15</v>
      </c>
      <c r="I238">
        <v>1</v>
      </c>
    </row>
    <row r="239" spans="1:9" x14ac:dyDescent="0.3">
      <c r="A239" t="s">
        <v>153</v>
      </c>
      <c r="B239" t="s">
        <v>177</v>
      </c>
      <c r="C239" t="s">
        <v>28</v>
      </c>
      <c r="D239">
        <v>2482.65</v>
      </c>
      <c r="E239">
        <v>1</v>
      </c>
      <c r="F239" t="s">
        <v>45</v>
      </c>
      <c r="G239" t="s">
        <v>25</v>
      </c>
      <c r="H239" t="s">
        <v>15</v>
      </c>
      <c r="I239">
        <v>1</v>
      </c>
    </row>
    <row r="240" spans="1:9" x14ac:dyDescent="0.3">
      <c r="A240" t="s">
        <v>499</v>
      </c>
      <c r="B240" t="s">
        <v>480</v>
      </c>
      <c r="C240" t="s">
        <v>28</v>
      </c>
      <c r="D240">
        <v>2849.5</v>
      </c>
      <c r="E240">
        <v>29</v>
      </c>
      <c r="F240" t="s">
        <v>19</v>
      </c>
      <c r="G240" t="s">
        <v>20</v>
      </c>
      <c r="H240" t="s">
        <v>615</v>
      </c>
      <c r="I240">
        <v>1</v>
      </c>
    </row>
    <row r="241" spans="1:9" x14ac:dyDescent="0.3">
      <c r="A241" t="s">
        <v>678</v>
      </c>
      <c r="B241" t="s">
        <v>679</v>
      </c>
      <c r="C241" t="s">
        <v>12</v>
      </c>
      <c r="D241">
        <v>4051.39</v>
      </c>
      <c r="E241">
        <v>34</v>
      </c>
      <c r="F241" t="s">
        <v>13</v>
      </c>
      <c r="G241" t="s">
        <v>58</v>
      </c>
      <c r="H241" t="s">
        <v>615</v>
      </c>
      <c r="I241">
        <v>1</v>
      </c>
    </row>
    <row r="242" spans="1:9" x14ac:dyDescent="0.3">
      <c r="A242" t="s">
        <v>680</v>
      </c>
      <c r="B242" t="s">
        <v>483</v>
      </c>
      <c r="C242" t="s">
        <v>23</v>
      </c>
      <c r="D242">
        <v>948.69</v>
      </c>
      <c r="E242">
        <v>23</v>
      </c>
      <c r="F242" t="s">
        <v>19</v>
      </c>
      <c r="G242" t="s">
        <v>29</v>
      </c>
      <c r="H242" t="s">
        <v>615</v>
      </c>
      <c r="I242">
        <v>1</v>
      </c>
    </row>
    <row r="243" spans="1:9" x14ac:dyDescent="0.3">
      <c r="A243" t="s">
        <v>178</v>
      </c>
      <c r="B243" t="s">
        <v>179</v>
      </c>
      <c r="C243" t="s">
        <v>35</v>
      </c>
      <c r="D243">
        <v>4175.17</v>
      </c>
      <c r="E243">
        <v>24</v>
      </c>
      <c r="F243" t="s">
        <v>49</v>
      </c>
      <c r="G243" t="s">
        <v>25</v>
      </c>
      <c r="H243" t="s">
        <v>15</v>
      </c>
      <c r="I243">
        <v>0</v>
      </c>
    </row>
    <row r="244" spans="1:9" x14ac:dyDescent="0.3">
      <c r="A244" t="s">
        <v>208</v>
      </c>
      <c r="B244" t="s">
        <v>681</v>
      </c>
      <c r="C244" t="s">
        <v>23</v>
      </c>
      <c r="D244">
        <v>1358.95</v>
      </c>
      <c r="E244">
        <v>43</v>
      </c>
      <c r="F244" t="s">
        <v>49</v>
      </c>
      <c r="G244" t="s">
        <v>58</v>
      </c>
      <c r="H244" t="s">
        <v>615</v>
      </c>
      <c r="I244">
        <v>0</v>
      </c>
    </row>
    <row r="245" spans="1:9" x14ac:dyDescent="0.3">
      <c r="A245" t="s">
        <v>439</v>
      </c>
      <c r="B245" t="s">
        <v>682</v>
      </c>
      <c r="C245" t="s">
        <v>35</v>
      </c>
      <c r="D245">
        <v>3350.28</v>
      </c>
      <c r="E245">
        <v>34</v>
      </c>
      <c r="F245" t="s">
        <v>49</v>
      </c>
      <c r="G245" t="s">
        <v>25</v>
      </c>
      <c r="H245" t="s">
        <v>615</v>
      </c>
      <c r="I245">
        <v>1</v>
      </c>
    </row>
    <row r="246" spans="1:9" x14ac:dyDescent="0.3">
      <c r="A246" t="s">
        <v>180</v>
      </c>
      <c r="B246" t="s">
        <v>181</v>
      </c>
      <c r="C246" t="s">
        <v>12</v>
      </c>
      <c r="D246">
        <v>4730.07</v>
      </c>
      <c r="E246">
        <v>2</v>
      </c>
      <c r="F246" t="s">
        <v>49</v>
      </c>
      <c r="G246" t="s">
        <v>29</v>
      </c>
      <c r="H246" t="s">
        <v>15</v>
      </c>
      <c r="I246">
        <v>0</v>
      </c>
    </row>
    <row r="247" spans="1:9" x14ac:dyDescent="0.3">
      <c r="A247" t="s">
        <v>182</v>
      </c>
      <c r="B247" t="s">
        <v>183</v>
      </c>
      <c r="C247" t="s">
        <v>12</v>
      </c>
      <c r="D247">
        <v>3584.09</v>
      </c>
      <c r="E247">
        <v>14</v>
      </c>
      <c r="F247" t="s">
        <v>45</v>
      </c>
      <c r="G247" t="s">
        <v>14</v>
      </c>
      <c r="H247" t="s">
        <v>15</v>
      </c>
      <c r="I247">
        <v>1</v>
      </c>
    </row>
    <row r="248" spans="1:9" x14ac:dyDescent="0.3">
      <c r="A248" t="s">
        <v>476</v>
      </c>
      <c r="B248" t="s">
        <v>341</v>
      </c>
      <c r="C248" t="s">
        <v>28</v>
      </c>
      <c r="D248">
        <v>4749.9799999999996</v>
      </c>
      <c r="E248">
        <v>16</v>
      </c>
      <c r="F248" t="s">
        <v>36</v>
      </c>
      <c r="G248" t="s">
        <v>46</v>
      </c>
      <c r="H248" t="s">
        <v>369</v>
      </c>
      <c r="I248">
        <v>0</v>
      </c>
    </row>
    <row r="249" spans="1:9" x14ac:dyDescent="0.3">
      <c r="A249" t="s">
        <v>184</v>
      </c>
      <c r="B249" t="s">
        <v>185</v>
      </c>
      <c r="C249" t="s">
        <v>28</v>
      </c>
      <c r="D249">
        <v>2088.88</v>
      </c>
      <c r="E249">
        <v>50</v>
      </c>
      <c r="F249" t="s">
        <v>13</v>
      </c>
      <c r="G249" t="s">
        <v>14</v>
      </c>
      <c r="H249" t="s">
        <v>15</v>
      </c>
      <c r="I249">
        <v>1</v>
      </c>
    </row>
    <row r="250" spans="1:9" x14ac:dyDescent="0.3">
      <c r="A250" t="s">
        <v>186</v>
      </c>
      <c r="B250" t="s">
        <v>187</v>
      </c>
      <c r="C250" t="s">
        <v>35</v>
      </c>
      <c r="D250">
        <v>2681.05</v>
      </c>
      <c r="E250">
        <v>16</v>
      </c>
      <c r="F250" t="s">
        <v>49</v>
      </c>
      <c r="G250" t="s">
        <v>25</v>
      </c>
      <c r="H250" t="s">
        <v>15</v>
      </c>
      <c r="I250">
        <v>1</v>
      </c>
    </row>
    <row r="251" spans="1:9" x14ac:dyDescent="0.3">
      <c r="A251" t="s">
        <v>66</v>
      </c>
      <c r="B251" t="s">
        <v>477</v>
      </c>
      <c r="C251" t="s">
        <v>23</v>
      </c>
      <c r="D251">
        <v>4960.5</v>
      </c>
      <c r="E251">
        <v>10</v>
      </c>
      <c r="F251" t="s">
        <v>36</v>
      </c>
      <c r="G251" t="s">
        <v>29</v>
      </c>
      <c r="H251" t="s">
        <v>369</v>
      </c>
      <c r="I251">
        <v>0</v>
      </c>
    </row>
    <row r="252" spans="1:9" x14ac:dyDescent="0.3">
      <c r="A252" t="s">
        <v>683</v>
      </c>
      <c r="B252" t="s">
        <v>684</v>
      </c>
      <c r="C252" t="s">
        <v>35</v>
      </c>
      <c r="D252">
        <v>1834.38</v>
      </c>
      <c r="E252">
        <v>20</v>
      </c>
      <c r="F252" t="s">
        <v>45</v>
      </c>
      <c r="G252" t="s">
        <v>20</v>
      </c>
      <c r="H252" t="s">
        <v>615</v>
      </c>
      <c r="I252">
        <v>1</v>
      </c>
    </row>
    <row r="253" spans="1:9" x14ac:dyDescent="0.3">
      <c r="A253" t="s">
        <v>685</v>
      </c>
      <c r="B253" t="s">
        <v>261</v>
      </c>
      <c r="C253" t="s">
        <v>23</v>
      </c>
      <c r="D253">
        <v>4121.29</v>
      </c>
      <c r="E253">
        <v>44</v>
      </c>
      <c r="F253" t="s">
        <v>13</v>
      </c>
      <c r="G253" t="s">
        <v>25</v>
      </c>
      <c r="H253" t="s">
        <v>615</v>
      </c>
      <c r="I253">
        <v>0</v>
      </c>
    </row>
    <row r="254" spans="1:9" x14ac:dyDescent="0.3">
      <c r="A254" t="s">
        <v>142</v>
      </c>
      <c r="B254" t="s">
        <v>188</v>
      </c>
      <c r="C254" t="s">
        <v>35</v>
      </c>
      <c r="D254">
        <v>3775.27</v>
      </c>
      <c r="E254">
        <v>37</v>
      </c>
      <c r="F254" t="s">
        <v>13</v>
      </c>
      <c r="G254" t="s">
        <v>25</v>
      </c>
      <c r="H254" t="s">
        <v>15</v>
      </c>
      <c r="I254">
        <v>0</v>
      </c>
    </row>
    <row r="255" spans="1:9" x14ac:dyDescent="0.3">
      <c r="A255" t="s">
        <v>97</v>
      </c>
      <c r="B255" t="s">
        <v>478</v>
      </c>
      <c r="C255" t="s">
        <v>35</v>
      </c>
      <c r="D255">
        <v>3164.15</v>
      </c>
      <c r="E255">
        <v>30</v>
      </c>
      <c r="F255" t="s">
        <v>49</v>
      </c>
      <c r="G255" t="s">
        <v>58</v>
      </c>
      <c r="H255" t="s">
        <v>369</v>
      </c>
      <c r="I255">
        <v>1</v>
      </c>
    </row>
    <row r="256" spans="1:9" x14ac:dyDescent="0.3">
      <c r="A256" t="s">
        <v>91</v>
      </c>
      <c r="B256" t="s">
        <v>368</v>
      </c>
      <c r="C256" t="s">
        <v>23</v>
      </c>
      <c r="D256">
        <v>696.99</v>
      </c>
      <c r="E256">
        <v>47</v>
      </c>
      <c r="F256" t="s">
        <v>49</v>
      </c>
      <c r="G256" t="s">
        <v>46</v>
      </c>
      <c r="H256" t="s">
        <v>615</v>
      </c>
      <c r="I256">
        <v>1</v>
      </c>
    </row>
    <row r="257" spans="1:9" x14ac:dyDescent="0.3">
      <c r="A257" t="s">
        <v>189</v>
      </c>
      <c r="B257" t="s">
        <v>190</v>
      </c>
      <c r="C257" t="s">
        <v>12</v>
      </c>
      <c r="D257">
        <v>4543.13</v>
      </c>
      <c r="E257">
        <v>13</v>
      </c>
      <c r="F257" t="s">
        <v>24</v>
      </c>
      <c r="G257" t="s">
        <v>58</v>
      </c>
      <c r="H257" t="s">
        <v>15</v>
      </c>
      <c r="I257">
        <v>1</v>
      </c>
    </row>
    <row r="258" spans="1:9" x14ac:dyDescent="0.3">
      <c r="A258" t="s">
        <v>686</v>
      </c>
      <c r="B258" t="s">
        <v>687</v>
      </c>
      <c r="C258" t="s">
        <v>23</v>
      </c>
      <c r="D258">
        <v>303.10000000000002</v>
      </c>
      <c r="E258">
        <v>33</v>
      </c>
      <c r="F258" t="s">
        <v>45</v>
      </c>
      <c r="G258" t="s">
        <v>20</v>
      </c>
      <c r="H258" t="s">
        <v>615</v>
      </c>
      <c r="I258">
        <v>1</v>
      </c>
    </row>
    <row r="259" spans="1:9" x14ac:dyDescent="0.3">
      <c r="A259" t="s">
        <v>191</v>
      </c>
      <c r="B259" t="s">
        <v>192</v>
      </c>
      <c r="C259" t="s">
        <v>12</v>
      </c>
      <c r="D259">
        <v>44.68</v>
      </c>
      <c r="E259">
        <v>28</v>
      </c>
      <c r="F259" t="s">
        <v>24</v>
      </c>
      <c r="G259" t="s">
        <v>25</v>
      </c>
      <c r="H259" t="s">
        <v>15</v>
      </c>
      <c r="I259">
        <v>1</v>
      </c>
    </row>
    <row r="260" spans="1:9" x14ac:dyDescent="0.3">
      <c r="A260" t="s">
        <v>186</v>
      </c>
      <c r="B260" t="s">
        <v>479</v>
      </c>
      <c r="C260" t="s">
        <v>28</v>
      </c>
      <c r="D260">
        <v>4608.17</v>
      </c>
      <c r="E260">
        <v>7</v>
      </c>
      <c r="F260" t="s">
        <v>45</v>
      </c>
      <c r="G260" t="s">
        <v>29</v>
      </c>
      <c r="H260" t="s">
        <v>369</v>
      </c>
      <c r="I260">
        <v>0</v>
      </c>
    </row>
    <row r="261" spans="1:9" x14ac:dyDescent="0.3">
      <c r="A261" t="s">
        <v>685</v>
      </c>
      <c r="B261" t="s">
        <v>448</v>
      </c>
      <c r="C261" t="s">
        <v>35</v>
      </c>
      <c r="D261">
        <v>4743.24</v>
      </c>
      <c r="E261">
        <v>47</v>
      </c>
      <c r="F261" t="s">
        <v>19</v>
      </c>
      <c r="G261" t="s">
        <v>46</v>
      </c>
      <c r="H261" t="s">
        <v>615</v>
      </c>
      <c r="I261">
        <v>1</v>
      </c>
    </row>
    <row r="262" spans="1:9" x14ac:dyDescent="0.3">
      <c r="A262" t="s">
        <v>688</v>
      </c>
      <c r="B262" t="s">
        <v>689</v>
      </c>
      <c r="C262" t="s">
        <v>23</v>
      </c>
      <c r="D262">
        <v>4573.91</v>
      </c>
      <c r="E262">
        <v>2</v>
      </c>
      <c r="F262" t="s">
        <v>45</v>
      </c>
      <c r="G262" t="s">
        <v>20</v>
      </c>
      <c r="H262" t="s">
        <v>615</v>
      </c>
      <c r="I262">
        <v>1</v>
      </c>
    </row>
    <row r="263" spans="1:9" x14ac:dyDescent="0.3">
      <c r="A263" t="s">
        <v>690</v>
      </c>
      <c r="B263" t="s">
        <v>569</v>
      </c>
      <c r="C263" t="s">
        <v>12</v>
      </c>
      <c r="D263">
        <v>1428.74</v>
      </c>
      <c r="E263">
        <v>11</v>
      </c>
      <c r="F263" t="s">
        <v>19</v>
      </c>
      <c r="G263" t="s">
        <v>14</v>
      </c>
      <c r="H263" t="s">
        <v>615</v>
      </c>
      <c r="I263">
        <v>1</v>
      </c>
    </row>
    <row r="264" spans="1:9" x14ac:dyDescent="0.3">
      <c r="A264" t="s">
        <v>167</v>
      </c>
      <c r="B264" t="s">
        <v>193</v>
      </c>
      <c r="C264" t="s">
        <v>28</v>
      </c>
      <c r="D264">
        <v>4732.26</v>
      </c>
      <c r="E264">
        <v>9</v>
      </c>
      <c r="F264" t="s">
        <v>24</v>
      </c>
      <c r="G264" t="s">
        <v>29</v>
      </c>
      <c r="H264" t="s">
        <v>15</v>
      </c>
      <c r="I264">
        <v>1</v>
      </c>
    </row>
    <row r="265" spans="1:9" x14ac:dyDescent="0.3">
      <c r="A265" t="s">
        <v>691</v>
      </c>
      <c r="B265" t="s">
        <v>692</v>
      </c>
      <c r="C265" t="s">
        <v>23</v>
      </c>
      <c r="D265">
        <v>3697.55</v>
      </c>
      <c r="E265">
        <v>30</v>
      </c>
      <c r="F265" t="s">
        <v>45</v>
      </c>
      <c r="G265" t="s">
        <v>14</v>
      </c>
      <c r="H265" t="s">
        <v>615</v>
      </c>
      <c r="I265">
        <v>0</v>
      </c>
    </row>
    <row r="266" spans="1:9" x14ac:dyDescent="0.3">
      <c r="A266" t="s">
        <v>214</v>
      </c>
      <c r="B266" t="s">
        <v>61</v>
      </c>
      <c r="C266" t="s">
        <v>23</v>
      </c>
      <c r="D266">
        <v>1646.35</v>
      </c>
      <c r="E266">
        <v>23</v>
      </c>
      <c r="F266" t="s">
        <v>45</v>
      </c>
      <c r="G266" t="s">
        <v>25</v>
      </c>
      <c r="H266" t="s">
        <v>369</v>
      </c>
      <c r="I266">
        <v>0</v>
      </c>
    </row>
    <row r="267" spans="1:9" x14ac:dyDescent="0.3">
      <c r="A267" t="s">
        <v>194</v>
      </c>
      <c r="B267" t="s">
        <v>195</v>
      </c>
      <c r="C267" t="s">
        <v>28</v>
      </c>
      <c r="D267">
        <v>2721.39</v>
      </c>
      <c r="E267">
        <v>20</v>
      </c>
      <c r="F267" t="s">
        <v>19</v>
      </c>
      <c r="G267" t="s">
        <v>14</v>
      </c>
      <c r="H267" t="s">
        <v>15</v>
      </c>
      <c r="I267">
        <v>1</v>
      </c>
    </row>
    <row r="268" spans="1:9" x14ac:dyDescent="0.3">
      <c r="A268" t="s">
        <v>196</v>
      </c>
      <c r="B268" t="s">
        <v>197</v>
      </c>
      <c r="C268" t="s">
        <v>35</v>
      </c>
      <c r="D268">
        <v>3019.01</v>
      </c>
      <c r="E268">
        <v>8</v>
      </c>
      <c r="F268" t="s">
        <v>49</v>
      </c>
      <c r="G268" t="s">
        <v>29</v>
      </c>
      <c r="H268" t="s">
        <v>15</v>
      </c>
      <c r="I268">
        <v>0</v>
      </c>
    </row>
    <row r="269" spans="1:9" x14ac:dyDescent="0.3">
      <c r="A269" t="s">
        <v>84</v>
      </c>
      <c r="B269" t="s">
        <v>480</v>
      </c>
      <c r="C269" t="s">
        <v>28</v>
      </c>
      <c r="D269">
        <v>1311.51</v>
      </c>
      <c r="E269">
        <v>11</v>
      </c>
      <c r="F269" t="s">
        <v>24</v>
      </c>
      <c r="G269" t="s">
        <v>20</v>
      </c>
      <c r="H269" t="s">
        <v>369</v>
      </c>
      <c r="I269">
        <v>0</v>
      </c>
    </row>
    <row r="270" spans="1:9" x14ac:dyDescent="0.3">
      <c r="A270" t="s">
        <v>354</v>
      </c>
      <c r="B270" t="s">
        <v>257</v>
      </c>
      <c r="C270" t="s">
        <v>28</v>
      </c>
      <c r="D270">
        <v>4563.7</v>
      </c>
      <c r="E270">
        <v>4</v>
      </c>
      <c r="F270" t="s">
        <v>19</v>
      </c>
      <c r="G270" t="s">
        <v>14</v>
      </c>
      <c r="H270" t="s">
        <v>369</v>
      </c>
      <c r="I270">
        <v>1</v>
      </c>
    </row>
    <row r="271" spans="1:9" x14ac:dyDescent="0.3">
      <c r="A271" t="s">
        <v>693</v>
      </c>
      <c r="B271" t="s">
        <v>404</v>
      </c>
      <c r="C271" t="s">
        <v>12</v>
      </c>
      <c r="D271">
        <v>4925.4799999999996</v>
      </c>
      <c r="E271">
        <v>17</v>
      </c>
      <c r="F271" t="s">
        <v>49</v>
      </c>
      <c r="G271" t="s">
        <v>29</v>
      </c>
      <c r="H271" t="s">
        <v>615</v>
      </c>
      <c r="I271">
        <v>1</v>
      </c>
    </row>
    <row r="272" spans="1:9" x14ac:dyDescent="0.3">
      <c r="A272" t="s">
        <v>694</v>
      </c>
      <c r="B272" t="s">
        <v>695</v>
      </c>
      <c r="C272" t="s">
        <v>23</v>
      </c>
      <c r="D272">
        <v>2688.84</v>
      </c>
      <c r="E272">
        <v>20</v>
      </c>
      <c r="F272" t="s">
        <v>49</v>
      </c>
      <c r="G272" t="s">
        <v>29</v>
      </c>
      <c r="H272" t="s">
        <v>615</v>
      </c>
      <c r="I272">
        <v>1</v>
      </c>
    </row>
    <row r="273" spans="1:9" x14ac:dyDescent="0.3">
      <c r="A273" t="s">
        <v>198</v>
      </c>
      <c r="B273" t="s">
        <v>199</v>
      </c>
      <c r="C273" t="s">
        <v>35</v>
      </c>
      <c r="D273">
        <v>4954.18</v>
      </c>
      <c r="E273">
        <v>17</v>
      </c>
      <c r="F273" t="s">
        <v>19</v>
      </c>
      <c r="G273" t="s">
        <v>14</v>
      </c>
      <c r="H273" t="s">
        <v>15</v>
      </c>
      <c r="I273">
        <v>0</v>
      </c>
    </row>
    <row r="274" spans="1:9" x14ac:dyDescent="0.3">
      <c r="A274" t="s">
        <v>200</v>
      </c>
      <c r="B274" t="s">
        <v>201</v>
      </c>
      <c r="C274" t="s">
        <v>12</v>
      </c>
      <c r="D274">
        <v>3987.29</v>
      </c>
      <c r="E274">
        <v>8</v>
      </c>
      <c r="F274" t="s">
        <v>45</v>
      </c>
      <c r="G274" t="s">
        <v>58</v>
      </c>
      <c r="H274" t="s">
        <v>15</v>
      </c>
      <c r="I274">
        <v>1</v>
      </c>
    </row>
    <row r="275" spans="1:9" x14ac:dyDescent="0.3">
      <c r="A275" t="s">
        <v>125</v>
      </c>
      <c r="B275" t="s">
        <v>481</v>
      </c>
      <c r="C275" t="s">
        <v>12</v>
      </c>
      <c r="D275">
        <v>2897.92</v>
      </c>
      <c r="E275">
        <v>25</v>
      </c>
      <c r="F275" t="s">
        <v>45</v>
      </c>
      <c r="G275" t="s">
        <v>25</v>
      </c>
      <c r="H275" t="s">
        <v>369</v>
      </c>
      <c r="I275">
        <v>1</v>
      </c>
    </row>
    <row r="276" spans="1:9" x14ac:dyDescent="0.3">
      <c r="A276" t="s">
        <v>202</v>
      </c>
      <c r="B276" t="s">
        <v>203</v>
      </c>
      <c r="C276" t="s">
        <v>28</v>
      </c>
      <c r="D276">
        <v>2078.2600000000002</v>
      </c>
      <c r="E276">
        <v>46</v>
      </c>
      <c r="F276" t="s">
        <v>19</v>
      </c>
      <c r="G276" t="s">
        <v>46</v>
      </c>
      <c r="H276" t="s">
        <v>15</v>
      </c>
      <c r="I276">
        <v>0</v>
      </c>
    </row>
    <row r="277" spans="1:9" x14ac:dyDescent="0.3">
      <c r="A277" t="s">
        <v>482</v>
      </c>
      <c r="B277" t="s">
        <v>181</v>
      </c>
      <c r="C277" t="s">
        <v>23</v>
      </c>
      <c r="D277">
        <v>3856.59</v>
      </c>
      <c r="E277">
        <v>32</v>
      </c>
      <c r="F277" t="s">
        <v>45</v>
      </c>
      <c r="G277" t="s">
        <v>14</v>
      </c>
      <c r="H277" t="s">
        <v>369</v>
      </c>
      <c r="I277">
        <v>1</v>
      </c>
    </row>
    <row r="278" spans="1:9" x14ac:dyDescent="0.3">
      <c r="A278" t="s">
        <v>180</v>
      </c>
      <c r="B278" t="s">
        <v>696</v>
      </c>
      <c r="C278" t="s">
        <v>23</v>
      </c>
      <c r="D278">
        <v>2977.15</v>
      </c>
      <c r="E278">
        <v>25</v>
      </c>
      <c r="F278" t="s">
        <v>24</v>
      </c>
      <c r="G278" t="s">
        <v>20</v>
      </c>
      <c r="H278" t="s">
        <v>615</v>
      </c>
      <c r="I278">
        <v>0</v>
      </c>
    </row>
    <row r="279" spans="1:9" x14ac:dyDescent="0.3">
      <c r="A279" t="s">
        <v>469</v>
      </c>
      <c r="B279" t="s">
        <v>483</v>
      </c>
      <c r="C279" t="s">
        <v>23</v>
      </c>
      <c r="D279">
        <v>673.93</v>
      </c>
      <c r="E279">
        <v>7</v>
      </c>
      <c r="F279" t="s">
        <v>24</v>
      </c>
      <c r="G279" t="s">
        <v>58</v>
      </c>
      <c r="H279" t="s">
        <v>369</v>
      </c>
      <c r="I279">
        <v>0</v>
      </c>
    </row>
    <row r="280" spans="1:9" x14ac:dyDescent="0.3">
      <c r="A280" t="s">
        <v>414</v>
      </c>
      <c r="B280" t="s">
        <v>697</v>
      </c>
      <c r="C280" t="s">
        <v>35</v>
      </c>
      <c r="D280">
        <v>4138.7</v>
      </c>
      <c r="E280">
        <v>2</v>
      </c>
      <c r="F280" t="s">
        <v>24</v>
      </c>
      <c r="G280" t="s">
        <v>20</v>
      </c>
      <c r="H280" t="s">
        <v>615</v>
      </c>
      <c r="I280">
        <v>1</v>
      </c>
    </row>
    <row r="281" spans="1:9" x14ac:dyDescent="0.3">
      <c r="A281" t="s">
        <v>484</v>
      </c>
      <c r="B281" t="s">
        <v>485</v>
      </c>
      <c r="C281" t="s">
        <v>35</v>
      </c>
      <c r="D281">
        <v>2992.23</v>
      </c>
      <c r="E281">
        <v>5</v>
      </c>
      <c r="F281" t="s">
        <v>19</v>
      </c>
      <c r="G281" t="s">
        <v>20</v>
      </c>
      <c r="H281" t="s">
        <v>369</v>
      </c>
      <c r="I281">
        <v>1</v>
      </c>
    </row>
    <row r="282" spans="1:9" x14ac:dyDescent="0.3">
      <c r="A282" t="s">
        <v>144</v>
      </c>
      <c r="B282" t="s">
        <v>204</v>
      </c>
      <c r="C282" t="s">
        <v>23</v>
      </c>
      <c r="D282">
        <v>3921.85</v>
      </c>
      <c r="E282">
        <v>11</v>
      </c>
      <c r="F282" t="s">
        <v>19</v>
      </c>
      <c r="G282" t="s">
        <v>14</v>
      </c>
      <c r="H282" t="s">
        <v>15</v>
      </c>
      <c r="I282">
        <v>0</v>
      </c>
    </row>
    <row r="283" spans="1:9" x14ac:dyDescent="0.3">
      <c r="A283" t="s">
        <v>698</v>
      </c>
      <c r="B283" t="s">
        <v>114</v>
      </c>
      <c r="C283" t="s">
        <v>12</v>
      </c>
      <c r="D283">
        <v>4731.88</v>
      </c>
      <c r="E283">
        <v>31</v>
      </c>
      <c r="F283" t="s">
        <v>45</v>
      </c>
      <c r="G283" t="s">
        <v>14</v>
      </c>
      <c r="H283" t="s">
        <v>615</v>
      </c>
      <c r="I283">
        <v>0</v>
      </c>
    </row>
    <row r="284" spans="1:9" x14ac:dyDescent="0.3">
      <c r="A284" t="s">
        <v>205</v>
      </c>
      <c r="B284" t="s">
        <v>206</v>
      </c>
      <c r="C284" t="s">
        <v>12</v>
      </c>
      <c r="D284">
        <v>1422.5</v>
      </c>
      <c r="E284">
        <v>18</v>
      </c>
      <c r="F284" t="s">
        <v>45</v>
      </c>
      <c r="G284" t="s">
        <v>29</v>
      </c>
      <c r="H284" t="s">
        <v>15</v>
      </c>
      <c r="I284">
        <v>1</v>
      </c>
    </row>
    <row r="285" spans="1:9" x14ac:dyDescent="0.3">
      <c r="A285" t="s">
        <v>699</v>
      </c>
      <c r="B285" t="s">
        <v>530</v>
      </c>
      <c r="C285" t="s">
        <v>28</v>
      </c>
      <c r="D285">
        <v>29.97</v>
      </c>
      <c r="E285">
        <v>15</v>
      </c>
      <c r="F285" t="s">
        <v>45</v>
      </c>
      <c r="G285" t="s">
        <v>25</v>
      </c>
      <c r="H285" t="s">
        <v>615</v>
      </c>
      <c r="I285">
        <v>1</v>
      </c>
    </row>
    <row r="286" spans="1:9" x14ac:dyDescent="0.3">
      <c r="A286" t="s">
        <v>194</v>
      </c>
      <c r="B286" t="s">
        <v>207</v>
      </c>
      <c r="C286" t="s">
        <v>35</v>
      </c>
      <c r="D286">
        <v>243.05</v>
      </c>
      <c r="E286">
        <v>30</v>
      </c>
      <c r="F286" t="s">
        <v>13</v>
      </c>
      <c r="G286" t="s">
        <v>46</v>
      </c>
      <c r="H286" t="s">
        <v>15</v>
      </c>
      <c r="I286">
        <v>1</v>
      </c>
    </row>
    <row r="287" spans="1:9" x14ac:dyDescent="0.3">
      <c r="A287" t="s">
        <v>208</v>
      </c>
      <c r="B287" t="s">
        <v>63</v>
      </c>
      <c r="C287" t="s">
        <v>28</v>
      </c>
      <c r="D287">
        <v>671.76</v>
      </c>
      <c r="E287">
        <v>49</v>
      </c>
      <c r="F287" t="s">
        <v>19</v>
      </c>
      <c r="G287" t="s">
        <v>25</v>
      </c>
      <c r="H287" t="s">
        <v>15</v>
      </c>
      <c r="I287">
        <v>0</v>
      </c>
    </row>
    <row r="288" spans="1:9" x14ac:dyDescent="0.3">
      <c r="A288" t="s">
        <v>486</v>
      </c>
      <c r="B288" t="s">
        <v>487</v>
      </c>
      <c r="C288" t="s">
        <v>23</v>
      </c>
      <c r="D288">
        <v>3285.21</v>
      </c>
      <c r="E288">
        <v>10</v>
      </c>
      <c r="F288" t="s">
        <v>13</v>
      </c>
      <c r="G288" t="s">
        <v>46</v>
      </c>
      <c r="H288" t="s">
        <v>369</v>
      </c>
      <c r="I288">
        <v>0</v>
      </c>
    </row>
    <row r="289" spans="1:9" x14ac:dyDescent="0.3">
      <c r="A289" t="s">
        <v>488</v>
      </c>
      <c r="B289" t="s">
        <v>489</v>
      </c>
      <c r="C289" t="s">
        <v>28</v>
      </c>
      <c r="D289">
        <v>3305.07</v>
      </c>
      <c r="E289">
        <v>6</v>
      </c>
      <c r="F289" t="s">
        <v>24</v>
      </c>
      <c r="G289" t="s">
        <v>58</v>
      </c>
      <c r="H289" t="s">
        <v>369</v>
      </c>
      <c r="I289">
        <v>0</v>
      </c>
    </row>
    <row r="290" spans="1:9" x14ac:dyDescent="0.3">
      <c r="A290" t="s">
        <v>475</v>
      </c>
      <c r="B290" t="s">
        <v>366</v>
      </c>
      <c r="C290" t="s">
        <v>35</v>
      </c>
      <c r="D290">
        <v>2443.1799999999998</v>
      </c>
      <c r="E290">
        <v>16</v>
      </c>
      <c r="F290" t="s">
        <v>13</v>
      </c>
      <c r="G290" t="s">
        <v>25</v>
      </c>
      <c r="H290" t="s">
        <v>369</v>
      </c>
      <c r="I290">
        <v>1</v>
      </c>
    </row>
    <row r="291" spans="1:9" x14ac:dyDescent="0.3">
      <c r="A291" t="s">
        <v>247</v>
      </c>
      <c r="B291" t="s">
        <v>496</v>
      </c>
      <c r="C291" t="s">
        <v>12</v>
      </c>
      <c r="D291">
        <v>1092.8800000000001</v>
      </c>
      <c r="E291">
        <v>38</v>
      </c>
      <c r="F291" t="s">
        <v>24</v>
      </c>
      <c r="G291" t="s">
        <v>20</v>
      </c>
      <c r="H291" t="s">
        <v>615</v>
      </c>
      <c r="I291">
        <v>0</v>
      </c>
    </row>
    <row r="292" spans="1:9" x14ac:dyDescent="0.3">
      <c r="A292" t="s">
        <v>209</v>
      </c>
      <c r="B292" t="s">
        <v>210</v>
      </c>
      <c r="C292" t="s">
        <v>23</v>
      </c>
      <c r="D292">
        <v>4260.47</v>
      </c>
      <c r="E292">
        <v>17</v>
      </c>
      <c r="F292" t="s">
        <v>45</v>
      </c>
      <c r="G292" t="s">
        <v>29</v>
      </c>
      <c r="H292" t="s">
        <v>15</v>
      </c>
      <c r="I292">
        <v>0</v>
      </c>
    </row>
    <row r="293" spans="1:9" x14ac:dyDescent="0.3">
      <c r="A293" t="s">
        <v>434</v>
      </c>
      <c r="B293" t="s">
        <v>700</v>
      </c>
      <c r="C293" t="s">
        <v>35</v>
      </c>
      <c r="D293">
        <v>3192.39</v>
      </c>
      <c r="E293">
        <v>25</v>
      </c>
      <c r="F293" t="s">
        <v>45</v>
      </c>
      <c r="G293" t="s">
        <v>14</v>
      </c>
      <c r="H293" t="s">
        <v>615</v>
      </c>
      <c r="I293">
        <v>0</v>
      </c>
    </row>
    <row r="294" spans="1:9" x14ac:dyDescent="0.3">
      <c r="A294" t="s">
        <v>84</v>
      </c>
      <c r="B294" t="s">
        <v>211</v>
      </c>
      <c r="C294" t="s">
        <v>35</v>
      </c>
      <c r="D294">
        <v>3168.73</v>
      </c>
      <c r="E294">
        <v>20</v>
      </c>
      <c r="F294" t="s">
        <v>45</v>
      </c>
      <c r="G294" t="s">
        <v>25</v>
      </c>
      <c r="H294" t="s">
        <v>15</v>
      </c>
      <c r="I294">
        <v>0</v>
      </c>
    </row>
    <row r="295" spans="1:9" x14ac:dyDescent="0.3">
      <c r="A295" t="s">
        <v>212</v>
      </c>
      <c r="B295" t="s">
        <v>213</v>
      </c>
      <c r="C295" t="s">
        <v>28</v>
      </c>
      <c r="D295">
        <v>4788.6499999999996</v>
      </c>
      <c r="E295">
        <v>22</v>
      </c>
      <c r="F295" t="s">
        <v>19</v>
      </c>
      <c r="G295" t="s">
        <v>58</v>
      </c>
      <c r="H295" t="s">
        <v>15</v>
      </c>
      <c r="I295">
        <v>1</v>
      </c>
    </row>
    <row r="296" spans="1:9" x14ac:dyDescent="0.3">
      <c r="A296" t="s">
        <v>214</v>
      </c>
      <c r="B296" t="s">
        <v>215</v>
      </c>
      <c r="C296" t="s">
        <v>12</v>
      </c>
      <c r="D296">
        <v>659.09</v>
      </c>
      <c r="E296">
        <v>34</v>
      </c>
      <c r="F296" t="s">
        <v>36</v>
      </c>
      <c r="G296" t="s">
        <v>25</v>
      </c>
      <c r="H296" t="s">
        <v>15</v>
      </c>
      <c r="I296">
        <v>1</v>
      </c>
    </row>
    <row r="297" spans="1:9" x14ac:dyDescent="0.3">
      <c r="A297" t="s">
        <v>674</v>
      </c>
      <c r="B297" t="s">
        <v>701</v>
      </c>
      <c r="C297" t="s">
        <v>23</v>
      </c>
      <c r="D297">
        <v>1481.41</v>
      </c>
      <c r="E297">
        <v>29</v>
      </c>
      <c r="F297" t="s">
        <v>49</v>
      </c>
      <c r="G297" t="s">
        <v>25</v>
      </c>
      <c r="H297" t="s">
        <v>615</v>
      </c>
      <c r="I297">
        <v>0</v>
      </c>
    </row>
    <row r="298" spans="1:9" x14ac:dyDescent="0.3">
      <c r="A298" t="s">
        <v>702</v>
      </c>
      <c r="B298" t="s">
        <v>703</v>
      </c>
      <c r="C298" t="s">
        <v>23</v>
      </c>
      <c r="D298">
        <v>657</v>
      </c>
      <c r="E298">
        <v>38</v>
      </c>
      <c r="F298" t="s">
        <v>13</v>
      </c>
      <c r="G298" t="s">
        <v>14</v>
      </c>
      <c r="H298" t="s">
        <v>615</v>
      </c>
      <c r="I298">
        <v>1</v>
      </c>
    </row>
    <row r="299" spans="1:9" x14ac:dyDescent="0.3">
      <c r="A299" t="s">
        <v>216</v>
      </c>
      <c r="B299" t="s">
        <v>217</v>
      </c>
      <c r="C299" t="s">
        <v>28</v>
      </c>
      <c r="D299">
        <v>4439.8500000000004</v>
      </c>
      <c r="E299">
        <v>50</v>
      </c>
      <c r="F299" t="s">
        <v>13</v>
      </c>
      <c r="G299" t="s">
        <v>46</v>
      </c>
      <c r="H299" t="s">
        <v>15</v>
      </c>
      <c r="I299">
        <v>1</v>
      </c>
    </row>
    <row r="300" spans="1:9" x14ac:dyDescent="0.3">
      <c r="A300" t="s">
        <v>66</v>
      </c>
      <c r="B300" t="s">
        <v>265</v>
      </c>
      <c r="C300" t="s">
        <v>35</v>
      </c>
      <c r="D300">
        <v>4469.13</v>
      </c>
      <c r="E300">
        <v>36</v>
      </c>
      <c r="F300" t="s">
        <v>36</v>
      </c>
      <c r="G300" t="s">
        <v>14</v>
      </c>
      <c r="H300" t="s">
        <v>615</v>
      </c>
      <c r="I300">
        <v>0</v>
      </c>
    </row>
    <row r="301" spans="1:9" x14ac:dyDescent="0.3">
      <c r="A301" t="s">
        <v>218</v>
      </c>
      <c r="B301" t="s">
        <v>219</v>
      </c>
      <c r="C301" t="s">
        <v>35</v>
      </c>
      <c r="D301">
        <v>3612.97</v>
      </c>
      <c r="E301">
        <v>25</v>
      </c>
      <c r="F301" t="s">
        <v>13</v>
      </c>
      <c r="G301" t="s">
        <v>58</v>
      </c>
      <c r="H301" t="s">
        <v>15</v>
      </c>
      <c r="I301">
        <v>1</v>
      </c>
    </row>
    <row r="302" spans="1:9" x14ac:dyDescent="0.3">
      <c r="A302" t="s">
        <v>666</v>
      </c>
      <c r="B302" t="s">
        <v>140</v>
      </c>
      <c r="C302" t="s">
        <v>23</v>
      </c>
      <c r="D302">
        <v>2634.74</v>
      </c>
      <c r="E302">
        <v>6</v>
      </c>
      <c r="F302" t="s">
        <v>45</v>
      </c>
      <c r="G302" t="s">
        <v>14</v>
      </c>
      <c r="H302" t="s">
        <v>615</v>
      </c>
      <c r="I302">
        <v>1</v>
      </c>
    </row>
    <row r="303" spans="1:9" x14ac:dyDescent="0.3">
      <c r="A303" t="s">
        <v>490</v>
      </c>
      <c r="B303" t="s">
        <v>491</v>
      </c>
      <c r="C303" t="s">
        <v>35</v>
      </c>
      <c r="D303">
        <v>4508.75</v>
      </c>
      <c r="E303">
        <v>31</v>
      </c>
      <c r="F303" t="s">
        <v>24</v>
      </c>
      <c r="G303" t="s">
        <v>20</v>
      </c>
      <c r="H303" t="s">
        <v>369</v>
      </c>
      <c r="I303">
        <v>1</v>
      </c>
    </row>
    <row r="304" spans="1:9" x14ac:dyDescent="0.3">
      <c r="A304" t="s">
        <v>375</v>
      </c>
      <c r="B304" t="s">
        <v>389</v>
      </c>
      <c r="C304" t="s">
        <v>23</v>
      </c>
      <c r="D304">
        <v>1625.1</v>
      </c>
      <c r="E304">
        <v>5</v>
      </c>
      <c r="F304" t="s">
        <v>24</v>
      </c>
      <c r="G304" t="s">
        <v>58</v>
      </c>
      <c r="H304" t="s">
        <v>615</v>
      </c>
      <c r="I304">
        <v>0</v>
      </c>
    </row>
    <row r="305" spans="1:9" x14ac:dyDescent="0.3">
      <c r="A305" t="s">
        <v>220</v>
      </c>
      <c r="B305" t="s">
        <v>104</v>
      </c>
      <c r="C305" t="s">
        <v>12</v>
      </c>
      <c r="D305">
        <v>4799.1899999999996</v>
      </c>
      <c r="E305">
        <v>44</v>
      </c>
      <c r="F305" t="s">
        <v>24</v>
      </c>
      <c r="G305" t="s">
        <v>20</v>
      </c>
      <c r="H305" t="s">
        <v>15</v>
      </c>
      <c r="I305">
        <v>0</v>
      </c>
    </row>
    <row r="306" spans="1:9" x14ac:dyDescent="0.3">
      <c r="A306" t="s">
        <v>492</v>
      </c>
      <c r="B306" t="s">
        <v>493</v>
      </c>
      <c r="C306" t="s">
        <v>28</v>
      </c>
      <c r="D306">
        <v>4271.8</v>
      </c>
      <c r="E306">
        <v>27</v>
      </c>
      <c r="F306" t="s">
        <v>36</v>
      </c>
      <c r="G306" t="s">
        <v>46</v>
      </c>
      <c r="H306" t="s">
        <v>369</v>
      </c>
      <c r="I306">
        <v>0</v>
      </c>
    </row>
    <row r="307" spans="1:9" x14ac:dyDescent="0.3">
      <c r="A307" t="s">
        <v>221</v>
      </c>
      <c r="B307" t="s">
        <v>222</v>
      </c>
      <c r="C307" t="s">
        <v>35</v>
      </c>
      <c r="D307">
        <v>3235.91</v>
      </c>
      <c r="E307">
        <v>19</v>
      </c>
      <c r="F307" t="s">
        <v>36</v>
      </c>
      <c r="G307" t="s">
        <v>14</v>
      </c>
      <c r="H307" t="s">
        <v>15</v>
      </c>
      <c r="I307">
        <v>0</v>
      </c>
    </row>
    <row r="308" spans="1:9" x14ac:dyDescent="0.3">
      <c r="A308" t="s">
        <v>704</v>
      </c>
      <c r="B308" t="s">
        <v>627</v>
      </c>
      <c r="C308" t="s">
        <v>28</v>
      </c>
      <c r="D308">
        <v>22.97</v>
      </c>
      <c r="E308">
        <v>31</v>
      </c>
      <c r="F308" t="s">
        <v>13</v>
      </c>
      <c r="G308" t="s">
        <v>58</v>
      </c>
      <c r="H308" t="s">
        <v>615</v>
      </c>
      <c r="I308">
        <v>1</v>
      </c>
    </row>
    <row r="309" spans="1:9" x14ac:dyDescent="0.3">
      <c r="A309" t="s">
        <v>223</v>
      </c>
      <c r="B309" t="s">
        <v>90</v>
      </c>
      <c r="C309" t="s">
        <v>28</v>
      </c>
      <c r="D309">
        <v>2325.13</v>
      </c>
      <c r="E309">
        <v>5</v>
      </c>
      <c r="F309" t="s">
        <v>49</v>
      </c>
      <c r="G309" t="s">
        <v>25</v>
      </c>
      <c r="H309" t="s">
        <v>15</v>
      </c>
      <c r="I309">
        <v>0</v>
      </c>
    </row>
    <row r="310" spans="1:9" x14ac:dyDescent="0.3">
      <c r="A310" t="s">
        <v>705</v>
      </c>
      <c r="B310" t="s">
        <v>706</v>
      </c>
      <c r="C310" t="s">
        <v>23</v>
      </c>
      <c r="D310">
        <v>4895.18</v>
      </c>
      <c r="E310">
        <v>36</v>
      </c>
      <c r="F310" t="s">
        <v>19</v>
      </c>
      <c r="G310" t="s">
        <v>29</v>
      </c>
      <c r="H310" t="s">
        <v>615</v>
      </c>
      <c r="I310">
        <v>1</v>
      </c>
    </row>
    <row r="311" spans="1:9" x14ac:dyDescent="0.3">
      <c r="A311" t="s">
        <v>707</v>
      </c>
      <c r="B311" t="s">
        <v>370</v>
      </c>
      <c r="C311" t="s">
        <v>23</v>
      </c>
      <c r="D311">
        <v>1534.54</v>
      </c>
      <c r="E311">
        <v>28</v>
      </c>
      <c r="F311" t="s">
        <v>36</v>
      </c>
      <c r="G311" t="s">
        <v>20</v>
      </c>
      <c r="H311" t="s">
        <v>615</v>
      </c>
      <c r="I311">
        <v>0</v>
      </c>
    </row>
    <row r="312" spans="1:9" x14ac:dyDescent="0.3">
      <c r="A312" t="s">
        <v>708</v>
      </c>
      <c r="B312" t="s">
        <v>366</v>
      </c>
      <c r="C312" t="s">
        <v>23</v>
      </c>
      <c r="D312">
        <v>114.66</v>
      </c>
      <c r="E312">
        <v>42</v>
      </c>
      <c r="F312" t="s">
        <v>49</v>
      </c>
      <c r="G312" t="s">
        <v>58</v>
      </c>
      <c r="H312" t="s">
        <v>615</v>
      </c>
      <c r="I312">
        <v>0</v>
      </c>
    </row>
    <row r="313" spans="1:9" x14ac:dyDescent="0.3">
      <c r="A313" t="s">
        <v>224</v>
      </c>
      <c r="B313" t="s">
        <v>225</v>
      </c>
      <c r="C313" t="s">
        <v>12</v>
      </c>
      <c r="D313">
        <v>1662.17</v>
      </c>
      <c r="E313">
        <v>16</v>
      </c>
      <c r="F313" t="s">
        <v>49</v>
      </c>
      <c r="G313" t="s">
        <v>25</v>
      </c>
      <c r="H313" t="s">
        <v>15</v>
      </c>
      <c r="I313">
        <v>1</v>
      </c>
    </row>
    <row r="314" spans="1:9" x14ac:dyDescent="0.3">
      <c r="A314" t="s">
        <v>226</v>
      </c>
      <c r="B314" t="s">
        <v>227</v>
      </c>
      <c r="C314" t="s">
        <v>12</v>
      </c>
      <c r="D314">
        <v>4708.1099999999997</v>
      </c>
      <c r="E314">
        <v>30</v>
      </c>
      <c r="F314" t="s">
        <v>49</v>
      </c>
      <c r="G314" t="s">
        <v>20</v>
      </c>
      <c r="H314" t="s">
        <v>15</v>
      </c>
      <c r="I314">
        <v>1</v>
      </c>
    </row>
    <row r="315" spans="1:9" x14ac:dyDescent="0.3">
      <c r="A315" t="s">
        <v>694</v>
      </c>
      <c r="B315" t="s">
        <v>709</v>
      </c>
      <c r="C315" t="s">
        <v>12</v>
      </c>
      <c r="D315">
        <v>736.16</v>
      </c>
      <c r="E315">
        <v>12</v>
      </c>
      <c r="F315" t="s">
        <v>45</v>
      </c>
      <c r="G315" t="s">
        <v>20</v>
      </c>
      <c r="H315" t="s">
        <v>615</v>
      </c>
      <c r="I315">
        <v>0</v>
      </c>
    </row>
    <row r="316" spans="1:9" x14ac:dyDescent="0.3">
      <c r="A316" t="s">
        <v>494</v>
      </c>
      <c r="B316" t="s">
        <v>495</v>
      </c>
      <c r="C316" t="s">
        <v>23</v>
      </c>
      <c r="D316">
        <v>3466.18</v>
      </c>
      <c r="E316">
        <v>4</v>
      </c>
      <c r="F316" t="s">
        <v>49</v>
      </c>
      <c r="G316" t="s">
        <v>46</v>
      </c>
      <c r="H316" t="s">
        <v>369</v>
      </c>
      <c r="I316">
        <v>1</v>
      </c>
    </row>
    <row r="317" spans="1:9" x14ac:dyDescent="0.3">
      <c r="A317" t="s">
        <v>351</v>
      </c>
      <c r="B317" t="s">
        <v>496</v>
      </c>
      <c r="C317" t="s">
        <v>35</v>
      </c>
      <c r="D317">
        <v>2635.73</v>
      </c>
      <c r="E317">
        <v>17</v>
      </c>
      <c r="F317" t="s">
        <v>13</v>
      </c>
      <c r="G317" t="s">
        <v>46</v>
      </c>
      <c r="H317" t="s">
        <v>369</v>
      </c>
      <c r="I317">
        <v>1</v>
      </c>
    </row>
    <row r="318" spans="1:9" x14ac:dyDescent="0.3">
      <c r="A318" t="s">
        <v>228</v>
      </c>
      <c r="B318" t="s">
        <v>229</v>
      </c>
      <c r="C318" t="s">
        <v>23</v>
      </c>
      <c r="D318">
        <v>909.88</v>
      </c>
      <c r="E318">
        <v>42</v>
      </c>
      <c r="F318" t="s">
        <v>24</v>
      </c>
      <c r="G318" t="s">
        <v>14</v>
      </c>
      <c r="H318" t="s">
        <v>15</v>
      </c>
      <c r="I318">
        <v>0</v>
      </c>
    </row>
    <row r="319" spans="1:9" x14ac:dyDescent="0.3">
      <c r="A319" t="s">
        <v>230</v>
      </c>
      <c r="B319" t="s">
        <v>231</v>
      </c>
      <c r="C319" t="s">
        <v>12</v>
      </c>
      <c r="D319">
        <v>2628.39</v>
      </c>
      <c r="E319">
        <v>44</v>
      </c>
      <c r="F319" t="s">
        <v>36</v>
      </c>
      <c r="G319" t="s">
        <v>25</v>
      </c>
      <c r="H319" t="s">
        <v>15</v>
      </c>
      <c r="I319">
        <v>1</v>
      </c>
    </row>
    <row r="320" spans="1:9" x14ac:dyDescent="0.3">
      <c r="A320" t="s">
        <v>144</v>
      </c>
      <c r="B320" t="s">
        <v>232</v>
      </c>
      <c r="C320" t="s">
        <v>28</v>
      </c>
      <c r="D320">
        <v>2679.65</v>
      </c>
      <c r="E320">
        <v>3</v>
      </c>
      <c r="F320" t="s">
        <v>49</v>
      </c>
      <c r="G320" t="s">
        <v>46</v>
      </c>
      <c r="H320" t="s">
        <v>15</v>
      </c>
      <c r="I320">
        <v>1</v>
      </c>
    </row>
    <row r="321" spans="1:9" x14ac:dyDescent="0.3">
      <c r="A321" t="s">
        <v>72</v>
      </c>
      <c r="B321" t="s">
        <v>577</v>
      </c>
      <c r="C321" t="s">
        <v>23</v>
      </c>
      <c r="D321">
        <v>4620.6099999999997</v>
      </c>
      <c r="E321">
        <v>38</v>
      </c>
      <c r="F321" t="s">
        <v>36</v>
      </c>
      <c r="G321" t="s">
        <v>25</v>
      </c>
      <c r="H321" t="s">
        <v>615</v>
      </c>
      <c r="I321">
        <v>1</v>
      </c>
    </row>
    <row r="322" spans="1:9" x14ac:dyDescent="0.3">
      <c r="A322" t="s">
        <v>710</v>
      </c>
      <c r="B322" t="s">
        <v>711</v>
      </c>
      <c r="C322" t="s">
        <v>23</v>
      </c>
      <c r="D322">
        <v>2608.9299999999998</v>
      </c>
      <c r="E322">
        <v>47</v>
      </c>
      <c r="F322" t="s">
        <v>45</v>
      </c>
      <c r="G322" t="s">
        <v>20</v>
      </c>
      <c r="H322" t="s">
        <v>615</v>
      </c>
      <c r="I322">
        <v>1</v>
      </c>
    </row>
    <row r="323" spans="1:9" x14ac:dyDescent="0.3">
      <c r="A323" t="s">
        <v>476</v>
      </c>
      <c r="B323" t="s">
        <v>497</v>
      </c>
      <c r="C323" t="s">
        <v>28</v>
      </c>
      <c r="D323">
        <v>4001.39</v>
      </c>
      <c r="E323">
        <v>21</v>
      </c>
      <c r="F323" t="s">
        <v>13</v>
      </c>
      <c r="G323" t="s">
        <v>25</v>
      </c>
      <c r="H323" t="s">
        <v>369</v>
      </c>
      <c r="I323">
        <v>1</v>
      </c>
    </row>
    <row r="324" spans="1:9" x14ac:dyDescent="0.3">
      <c r="A324" t="s">
        <v>498</v>
      </c>
      <c r="B324" t="s">
        <v>295</v>
      </c>
      <c r="C324" t="s">
        <v>35</v>
      </c>
      <c r="D324">
        <v>3271.89</v>
      </c>
      <c r="E324">
        <v>3</v>
      </c>
      <c r="F324" t="s">
        <v>45</v>
      </c>
      <c r="G324" t="s">
        <v>20</v>
      </c>
      <c r="H324" t="s">
        <v>369</v>
      </c>
      <c r="I324">
        <v>1</v>
      </c>
    </row>
    <row r="325" spans="1:9" x14ac:dyDescent="0.3">
      <c r="A325" t="s">
        <v>130</v>
      </c>
      <c r="B325" t="s">
        <v>233</v>
      </c>
      <c r="C325" t="s">
        <v>12</v>
      </c>
      <c r="D325">
        <v>2582.9899999999998</v>
      </c>
      <c r="E325">
        <v>46</v>
      </c>
      <c r="F325" t="s">
        <v>13</v>
      </c>
      <c r="G325" t="s">
        <v>58</v>
      </c>
      <c r="H325" t="s">
        <v>15</v>
      </c>
      <c r="I325">
        <v>1</v>
      </c>
    </row>
    <row r="326" spans="1:9" x14ac:dyDescent="0.3">
      <c r="A326" t="s">
        <v>234</v>
      </c>
      <c r="B326" t="s">
        <v>235</v>
      </c>
      <c r="C326" t="s">
        <v>23</v>
      </c>
      <c r="D326">
        <v>4931.87</v>
      </c>
      <c r="E326">
        <v>45</v>
      </c>
      <c r="F326" t="s">
        <v>45</v>
      </c>
      <c r="G326" t="s">
        <v>46</v>
      </c>
      <c r="H326" t="s">
        <v>15</v>
      </c>
      <c r="I326">
        <v>0</v>
      </c>
    </row>
    <row r="327" spans="1:9" x14ac:dyDescent="0.3">
      <c r="A327" t="s">
        <v>712</v>
      </c>
      <c r="B327" t="s">
        <v>697</v>
      </c>
      <c r="C327" t="s">
        <v>35</v>
      </c>
      <c r="D327">
        <v>4040.05</v>
      </c>
      <c r="E327">
        <v>6</v>
      </c>
      <c r="F327" t="s">
        <v>49</v>
      </c>
      <c r="G327" t="s">
        <v>20</v>
      </c>
      <c r="H327" t="s">
        <v>615</v>
      </c>
      <c r="I327">
        <v>0</v>
      </c>
    </row>
    <row r="328" spans="1:9" x14ac:dyDescent="0.3">
      <c r="A328" t="s">
        <v>499</v>
      </c>
      <c r="B328" t="s">
        <v>55</v>
      </c>
      <c r="C328" t="s">
        <v>28</v>
      </c>
      <c r="D328">
        <v>3804.54</v>
      </c>
      <c r="E328">
        <v>10</v>
      </c>
      <c r="F328" t="s">
        <v>24</v>
      </c>
      <c r="G328" t="s">
        <v>29</v>
      </c>
      <c r="H328" t="s">
        <v>369</v>
      </c>
      <c r="I328">
        <v>1</v>
      </c>
    </row>
    <row r="329" spans="1:9" x14ac:dyDescent="0.3">
      <c r="A329" t="s">
        <v>467</v>
      </c>
      <c r="B329" t="s">
        <v>500</v>
      </c>
      <c r="C329" t="s">
        <v>23</v>
      </c>
      <c r="D329">
        <v>956.14</v>
      </c>
      <c r="E329">
        <v>13</v>
      </c>
      <c r="F329" t="s">
        <v>49</v>
      </c>
      <c r="G329" t="s">
        <v>29</v>
      </c>
      <c r="H329" t="s">
        <v>369</v>
      </c>
      <c r="I329">
        <v>0</v>
      </c>
    </row>
    <row r="330" spans="1:9" x14ac:dyDescent="0.3">
      <c r="A330" t="s">
        <v>501</v>
      </c>
      <c r="B330" t="s">
        <v>502</v>
      </c>
      <c r="C330" t="s">
        <v>28</v>
      </c>
      <c r="D330">
        <v>2731.55</v>
      </c>
      <c r="E330">
        <v>12</v>
      </c>
      <c r="F330" t="s">
        <v>13</v>
      </c>
      <c r="G330" t="s">
        <v>20</v>
      </c>
      <c r="H330" t="s">
        <v>369</v>
      </c>
      <c r="I330">
        <v>1</v>
      </c>
    </row>
    <row r="331" spans="1:9" x14ac:dyDescent="0.3">
      <c r="A331" t="s">
        <v>653</v>
      </c>
      <c r="B331" t="s">
        <v>713</v>
      </c>
      <c r="C331" t="s">
        <v>35</v>
      </c>
      <c r="D331">
        <v>540.54</v>
      </c>
      <c r="E331">
        <v>40</v>
      </c>
      <c r="F331" t="s">
        <v>24</v>
      </c>
      <c r="G331" t="s">
        <v>58</v>
      </c>
      <c r="H331" t="s">
        <v>615</v>
      </c>
      <c r="I331">
        <v>1</v>
      </c>
    </row>
    <row r="332" spans="1:9" x14ac:dyDescent="0.3">
      <c r="A332" t="s">
        <v>236</v>
      </c>
      <c r="B332" t="s">
        <v>237</v>
      </c>
      <c r="C332" t="s">
        <v>23</v>
      </c>
      <c r="D332">
        <v>363.32</v>
      </c>
      <c r="E332">
        <v>46</v>
      </c>
      <c r="F332" t="s">
        <v>49</v>
      </c>
      <c r="G332" t="s">
        <v>20</v>
      </c>
      <c r="H332" t="s">
        <v>15</v>
      </c>
      <c r="I332">
        <v>1</v>
      </c>
    </row>
    <row r="333" spans="1:9" x14ac:dyDescent="0.3">
      <c r="A333" t="s">
        <v>137</v>
      </c>
      <c r="B333" t="s">
        <v>313</v>
      </c>
      <c r="C333" t="s">
        <v>35</v>
      </c>
      <c r="D333">
        <v>3225.14</v>
      </c>
      <c r="E333">
        <v>35</v>
      </c>
      <c r="F333" t="s">
        <v>19</v>
      </c>
      <c r="G333" t="s">
        <v>58</v>
      </c>
      <c r="H333" t="s">
        <v>615</v>
      </c>
      <c r="I333">
        <v>0</v>
      </c>
    </row>
    <row r="334" spans="1:9" x14ac:dyDescent="0.3">
      <c r="A334" t="s">
        <v>714</v>
      </c>
      <c r="B334" t="s">
        <v>715</v>
      </c>
      <c r="C334" t="s">
        <v>23</v>
      </c>
      <c r="D334">
        <v>4687.6099999999997</v>
      </c>
      <c r="E334">
        <v>48</v>
      </c>
      <c r="F334" t="s">
        <v>19</v>
      </c>
      <c r="G334" t="s">
        <v>46</v>
      </c>
      <c r="H334" t="s">
        <v>615</v>
      </c>
      <c r="I334">
        <v>0</v>
      </c>
    </row>
    <row r="335" spans="1:9" x14ac:dyDescent="0.3">
      <c r="A335" t="s">
        <v>238</v>
      </c>
      <c r="B335" t="s">
        <v>239</v>
      </c>
      <c r="C335" t="s">
        <v>12</v>
      </c>
      <c r="D335">
        <v>2409.91</v>
      </c>
      <c r="E335">
        <v>46</v>
      </c>
      <c r="F335" t="s">
        <v>49</v>
      </c>
      <c r="G335" t="s">
        <v>20</v>
      </c>
      <c r="H335" t="s">
        <v>15</v>
      </c>
      <c r="I335">
        <v>1</v>
      </c>
    </row>
    <row r="336" spans="1:9" x14ac:dyDescent="0.3">
      <c r="A336" t="s">
        <v>240</v>
      </c>
      <c r="B336" t="s">
        <v>241</v>
      </c>
      <c r="C336" t="s">
        <v>12</v>
      </c>
      <c r="D336">
        <v>1702.81</v>
      </c>
      <c r="E336">
        <v>35</v>
      </c>
      <c r="F336" t="s">
        <v>19</v>
      </c>
      <c r="G336" t="s">
        <v>14</v>
      </c>
      <c r="H336" t="s">
        <v>15</v>
      </c>
      <c r="I336">
        <v>0</v>
      </c>
    </row>
    <row r="337" spans="1:9" x14ac:dyDescent="0.3">
      <c r="A337" t="s">
        <v>716</v>
      </c>
      <c r="B337" t="s">
        <v>717</v>
      </c>
      <c r="C337" t="s">
        <v>12</v>
      </c>
      <c r="D337">
        <v>226.91</v>
      </c>
      <c r="E337">
        <v>32</v>
      </c>
      <c r="F337" t="s">
        <v>49</v>
      </c>
      <c r="G337" t="s">
        <v>29</v>
      </c>
      <c r="H337" t="s">
        <v>615</v>
      </c>
      <c r="I337">
        <v>1</v>
      </c>
    </row>
    <row r="338" spans="1:9" x14ac:dyDescent="0.3">
      <c r="A338" t="s">
        <v>503</v>
      </c>
      <c r="B338" t="s">
        <v>504</v>
      </c>
      <c r="C338" t="s">
        <v>28</v>
      </c>
      <c r="D338">
        <v>409.98</v>
      </c>
      <c r="E338">
        <v>31</v>
      </c>
      <c r="F338" t="s">
        <v>13</v>
      </c>
      <c r="G338" t="s">
        <v>46</v>
      </c>
      <c r="H338" t="s">
        <v>369</v>
      </c>
      <c r="I338">
        <v>1</v>
      </c>
    </row>
    <row r="339" spans="1:9" x14ac:dyDescent="0.3">
      <c r="A339" t="s">
        <v>718</v>
      </c>
      <c r="B339" t="s">
        <v>445</v>
      </c>
      <c r="C339" t="s">
        <v>35</v>
      </c>
      <c r="D339">
        <v>4219.83</v>
      </c>
      <c r="E339">
        <v>1</v>
      </c>
      <c r="F339" t="s">
        <v>36</v>
      </c>
      <c r="G339" t="s">
        <v>58</v>
      </c>
      <c r="H339" t="s">
        <v>615</v>
      </c>
      <c r="I339">
        <v>0</v>
      </c>
    </row>
    <row r="340" spans="1:9" x14ac:dyDescent="0.3">
      <c r="A340" t="s">
        <v>607</v>
      </c>
      <c r="B340" t="s">
        <v>719</v>
      </c>
      <c r="C340" t="s">
        <v>12</v>
      </c>
      <c r="D340">
        <v>1918.35</v>
      </c>
      <c r="E340">
        <v>3</v>
      </c>
      <c r="F340" t="s">
        <v>45</v>
      </c>
      <c r="G340" t="s">
        <v>58</v>
      </c>
      <c r="H340" t="s">
        <v>615</v>
      </c>
      <c r="I340">
        <v>1</v>
      </c>
    </row>
    <row r="341" spans="1:9" x14ac:dyDescent="0.3">
      <c r="A341" t="s">
        <v>242</v>
      </c>
      <c r="B341" t="s">
        <v>243</v>
      </c>
      <c r="C341" t="s">
        <v>28</v>
      </c>
      <c r="D341">
        <v>1205.8699999999999</v>
      </c>
      <c r="E341">
        <v>15</v>
      </c>
      <c r="F341" t="s">
        <v>19</v>
      </c>
      <c r="G341" t="s">
        <v>46</v>
      </c>
      <c r="H341" t="s">
        <v>15</v>
      </c>
      <c r="I341">
        <v>0</v>
      </c>
    </row>
    <row r="342" spans="1:9" x14ac:dyDescent="0.3">
      <c r="A342" t="s">
        <v>505</v>
      </c>
      <c r="B342" t="s">
        <v>466</v>
      </c>
      <c r="C342" t="s">
        <v>28</v>
      </c>
      <c r="D342">
        <v>602.52</v>
      </c>
      <c r="E342">
        <v>50</v>
      </c>
      <c r="F342" t="s">
        <v>24</v>
      </c>
      <c r="G342" t="s">
        <v>58</v>
      </c>
      <c r="H342" t="s">
        <v>369</v>
      </c>
      <c r="I342">
        <v>1</v>
      </c>
    </row>
    <row r="343" spans="1:9" x14ac:dyDescent="0.3">
      <c r="A343" t="s">
        <v>244</v>
      </c>
      <c r="B343" t="s">
        <v>71</v>
      </c>
      <c r="C343" t="s">
        <v>12</v>
      </c>
      <c r="D343">
        <v>3331.53</v>
      </c>
      <c r="E343">
        <v>9</v>
      </c>
      <c r="F343" t="s">
        <v>36</v>
      </c>
      <c r="G343" t="s">
        <v>14</v>
      </c>
      <c r="H343" t="s">
        <v>15</v>
      </c>
      <c r="I343">
        <v>0</v>
      </c>
    </row>
    <row r="344" spans="1:9" x14ac:dyDescent="0.3">
      <c r="A344" t="s">
        <v>720</v>
      </c>
      <c r="B344" t="s">
        <v>431</v>
      </c>
      <c r="C344" t="s">
        <v>23</v>
      </c>
      <c r="D344">
        <v>786.69</v>
      </c>
      <c r="E344">
        <v>47</v>
      </c>
      <c r="F344" t="s">
        <v>13</v>
      </c>
      <c r="G344" t="s">
        <v>25</v>
      </c>
      <c r="H344" t="s">
        <v>615</v>
      </c>
      <c r="I344">
        <v>1</v>
      </c>
    </row>
    <row r="345" spans="1:9" x14ac:dyDescent="0.3">
      <c r="A345" t="s">
        <v>245</v>
      </c>
      <c r="B345" t="s">
        <v>246</v>
      </c>
      <c r="C345" t="s">
        <v>28</v>
      </c>
      <c r="D345">
        <v>2250.66</v>
      </c>
      <c r="E345">
        <v>32</v>
      </c>
      <c r="F345" t="s">
        <v>45</v>
      </c>
      <c r="G345" t="s">
        <v>58</v>
      </c>
      <c r="H345" t="s">
        <v>15</v>
      </c>
      <c r="I345">
        <v>1</v>
      </c>
    </row>
    <row r="346" spans="1:9" x14ac:dyDescent="0.3">
      <c r="A346" t="s">
        <v>247</v>
      </c>
      <c r="B346" t="s">
        <v>248</v>
      </c>
      <c r="C346" t="s">
        <v>23</v>
      </c>
      <c r="D346">
        <v>4653.28</v>
      </c>
      <c r="E346">
        <v>5</v>
      </c>
      <c r="F346" t="s">
        <v>36</v>
      </c>
      <c r="G346" t="s">
        <v>20</v>
      </c>
      <c r="H346" t="s">
        <v>15</v>
      </c>
      <c r="I346">
        <v>0</v>
      </c>
    </row>
    <row r="347" spans="1:9" x14ac:dyDescent="0.3">
      <c r="A347" t="s">
        <v>288</v>
      </c>
      <c r="B347" t="s">
        <v>27</v>
      </c>
      <c r="C347" t="s">
        <v>23</v>
      </c>
      <c r="D347">
        <v>3132.7</v>
      </c>
      <c r="E347">
        <v>17</v>
      </c>
      <c r="F347" t="s">
        <v>45</v>
      </c>
      <c r="G347" t="s">
        <v>29</v>
      </c>
      <c r="H347" t="s">
        <v>615</v>
      </c>
      <c r="I347">
        <v>0</v>
      </c>
    </row>
    <row r="348" spans="1:9" x14ac:dyDescent="0.3">
      <c r="A348" t="s">
        <v>113</v>
      </c>
      <c r="B348" t="s">
        <v>493</v>
      </c>
      <c r="C348" t="s">
        <v>12</v>
      </c>
      <c r="D348">
        <v>1819.34</v>
      </c>
      <c r="E348">
        <v>26</v>
      </c>
      <c r="F348" t="s">
        <v>36</v>
      </c>
      <c r="G348" t="s">
        <v>29</v>
      </c>
      <c r="H348" t="s">
        <v>615</v>
      </c>
      <c r="I348">
        <v>0</v>
      </c>
    </row>
    <row r="349" spans="1:9" x14ac:dyDescent="0.3">
      <c r="A349" t="s">
        <v>249</v>
      </c>
      <c r="B349" t="s">
        <v>250</v>
      </c>
      <c r="C349" t="s">
        <v>23</v>
      </c>
      <c r="D349">
        <v>1869.6</v>
      </c>
      <c r="E349">
        <v>4</v>
      </c>
      <c r="F349" t="s">
        <v>13</v>
      </c>
      <c r="G349" t="s">
        <v>46</v>
      </c>
      <c r="H349" t="s">
        <v>15</v>
      </c>
      <c r="I349">
        <v>1</v>
      </c>
    </row>
    <row r="350" spans="1:9" x14ac:dyDescent="0.3">
      <c r="A350" t="s">
        <v>506</v>
      </c>
      <c r="B350" t="s">
        <v>489</v>
      </c>
      <c r="C350" t="s">
        <v>35</v>
      </c>
      <c r="D350">
        <v>2006.3</v>
      </c>
      <c r="E350">
        <v>35</v>
      </c>
      <c r="F350" t="s">
        <v>13</v>
      </c>
      <c r="G350" t="s">
        <v>58</v>
      </c>
      <c r="H350" t="s">
        <v>369</v>
      </c>
      <c r="I350">
        <v>0</v>
      </c>
    </row>
    <row r="351" spans="1:9" x14ac:dyDescent="0.3">
      <c r="A351" t="s">
        <v>39</v>
      </c>
      <c r="B351" t="s">
        <v>158</v>
      </c>
      <c r="C351" t="s">
        <v>23</v>
      </c>
      <c r="D351">
        <v>4054.59</v>
      </c>
      <c r="E351">
        <v>49</v>
      </c>
      <c r="F351" t="s">
        <v>49</v>
      </c>
      <c r="G351" t="s">
        <v>14</v>
      </c>
      <c r="H351" t="s">
        <v>615</v>
      </c>
      <c r="I351">
        <v>0</v>
      </c>
    </row>
    <row r="352" spans="1:9" x14ac:dyDescent="0.3">
      <c r="A352" t="s">
        <v>74</v>
      </c>
      <c r="B352" t="s">
        <v>232</v>
      </c>
      <c r="C352" t="s">
        <v>12</v>
      </c>
      <c r="D352">
        <v>168.51</v>
      </c>
      <c r="E352">
        <v>6</v>
      </c>
      <c r="F352" t="s">
        <v>24</v>
      </c>
      <c r="G352" t="s">
        <v>25</v>
      </c>
      <c r="H352" t="s">
        <v>615</v>
      </c>
      <c r="I352">
        <v>0</v>
      </c>
    </row>
    <row r="353" spans="1:9" x14ac:dyDescent="0.3">
      <c r="A353" t="s">
        <v>115</v>
      </c>
      <c r="B353" t="s">
        <v>477</v>
      </c>
      <c r="C353" t="s">
        <v>12</v>
      </c>
      <c r="D353">
        <v>2663.13</v>
      </c>
      <c r="E353">
        <v>48</v>
      </c>
      <c r="F353" t="s">
        <v>24</v>
      </c>
      <c r="G353" t="s">
        <v>25</v>
      </c>
      <c r="H353" t="s">
        <v>369</v>
      </c>
      <c r="I353">
        <v>0</v>
      </c>
    </row>
    <row r="354" spans="1:9" x14ac:dyDescent="0.3">
      <c r="A354" t="s">
        <v>251</v>
      </c>
      <c r="B354" t="s">
        <v>154</v>
      </c>
      <c r="C354" t="s">
        <v>28</v>
      </c>
      <c r="D354">
        <v>843.25</v>
      </c>
      <c r="E354">
        <v>44</v>
      </c>
      <c r="F354" t="s">
        <v>36</v>
      </c>
      <c r="G354" t="s">
        <v>46</v>
      </c>
      <c r="H354" t="s">
        <v>15</v>
      </c>
      <c r="I354">
        <v>1</v>
      </c>
    </row>
    <row r="355" spans="1:9" x14ac:dyDescent="0.3">
      <c r="A355" t="s">
        <v>312</v>
      </c>
      <c r="B355" t="s">
        <v>507</v>
      </c>
      <c r="C355" t="s">
        <v>23</v>
      </c>
      <c r="D355">
        <v>1051.9000000000001</v>
      </c>
      <c r="E355">
        <v>32</v>
      </c>
      <c r="F355" t="s">
        <v>36</v>
      </c>
      <c r="G355" t="s">
        <v>29</v>
      </c>
      <c r="H355" t="s">
        <v>369</v>
      </c>
      <c r="I355">
        <v>0</v>
      </c>
    </row>
    <row r="356" spans="1:9" x14ac:dyDescent="0.3">
      <c r="A356" t="s">
        <v>556</v>
      </c>
      <c r="B356" t="s">
        <v>721</v>
      </c>
      <c r="C356" t="s">
        <v>12</v>
      </c>
      <c r="D356">
        <v>865.25</v>
      </c>
      <c r="E356">
        <v>41</v>
      </c>
      <c r="F356" t="s">
        <v>49</v>
      </c>
      <c r="G356" t="s">
        <v>46</v>
      </c>
      <c r="H356" t="s">
        <v>615</v>
      </c>
      <c r="I356">
        <v>0</v>
      </c>
    </row>
    <row r="357" spans="1:9" x14ac:dyDescent="0.3">
      <c r="A357" t="s">
        <v>508</v>
      </c>
      <c r="B357" t="s">
        <v>509</v>
      </c>
      <c r="C357" t="s">
        <v>23</v>
      </c>
      <c r="D357">
        <v>1531.01</v>
      </c>
      <c r="E357">
        <v>49</v>
      </c>
      <c r="F357" t="s">
        <v>13</v>
      </c>
      <c r="G357" t="s">
        <v>25</v>
      </c>
      <c r="H357" t="s">
        <v>369</v>
      </c>
      <c r="I357">
        <v>0</v>
      </c>
    </row>
    <row r="358" spans="1:9" x14ac:dyDescent="0.3">
      <c r="A358" t="s">
        <v>714</v>
      </c>
      <c r="B358" t="s">
        <v>722</v>
      </c>
      <c r="C358" t="s">
        <v>28</v>
      </c>
      <c r="D358">
        <v>188.42</v>
      </c>
      <c r="E358">
        <v>25</v>
      </c>
      <c r="F358" t="s">
        <v>24</v>
      </c>
      <c r="G358" t="s">
        <v>46</v>
      </c>
      <c r="H358" t="s">
        <v>615</v>
      </c>
      <c r="I358">
        <v>0</v>
      </c>
    </row>
    <row r="359" spans="1:9" x14ac:dyDescent="0.3">
      <c r="A359" t="s">
        <v>723</v>
      </c>
      <c r="B359" t="s">
        <v>724</v>
      </c>
      <c r="C359" t="s">
        <v>23</v>
      </c>
      <c r="D359">
        <v>967.52</v>
      </c>
      <c r="E359">
        <v>46</v>
      </c>
      <c r="F359" t="s">
        <v>45</v>
      </c>
      <c r="G359" t="s">
        <v>46</v>
      </c>
      <c r="H359" t="s">
        <v>615</v>
      </c>
      <c r="I359">
        <v>0</v>
      </c>
    </row>
    <row r="360" spans="1:9" x14ac:dyDescent="0.3">
      <c r="A360" t="s">
        <v>510</v>
      </c>
      <c r="B360" t="s">
        <v>511</v>
      </c>
      <c r="C360" t="s">
        <v>35</v>
      </c>
      <c r="D360">
        <v>4651.75</v>
      </c>
      <c r="E360">
        <v>50</v>
      </c>
      <c r="F360" t="s">
        <v>45</v>
      </c>
      <c r="G360" t="s">
        <v>29</v>
      </c>
      <c r="H360" t="s">
        <v>369</v>
      </c>
      <c r="I360">
        <v>1</v>
      </c>
    </row>
    <row r="361" spans="1:9" x14ac:dyDescent="0.3">
      <c r="A361" t="s">
        <v>725</v>
      </c>
      <c r="B361" t="s">
        <v>726</v>
      </c>
      <c r="C361" t="s">
        <v>28</v>
      </c>
      <c r="D361">
        <v>1922.44</v>
      </c>
      <c r="E361">
        <v>12</v>
      </c>
      <c r="F361" t="s">
        <v>49</v>
      </c>
      <c r="G361" t="s">
        <v>46</v>
      </c>
      <c r="H361" t="s">
        <v>615</v>
      </c>
      <c r="I361">
        <v>0</v>
      </c>
    </row>
    <row r="362" spans="1:9" x14ac:dyDescent="0.3">
      <c r="A362" t="s">
        <v>249</v>
      </c>
      <c r="B362" t="s">
        <v>562</v>
      </c>
      <c r="C362" t="s">
        <v>12</v>
      </c>
      <c r="D362">
        <v>1979.7</v>
      </c>
      <c r="E362">
        <v>36</v>
      </c>
      <c r="F362" t="s">
        <v>36</v>
      </c>
      <c r="G362" t="s">
        <v>20</v>
      </c>
      <c r="H362" t="s">
        <v>615</v>
      </c>
      <c r="I362">
        <v>0</v>
      </c>
    </row>
    <row r="363" spans="1:9" x14ac:dyDescent="0.3">
      <c r="A363" t="s">
        <v>463</v>
      </c>
      <c r="B363" t="s">
        <v>297</v>
      </c>
      <c r="C363" t="s">
        <v>35</v>
      </c>
      <c r="D363">
        <v>4434.3100000000004</v>
      </c>
      <c r="E363">
        <v>13</v>
      </c>
      <c r="F363" t="s">
        <v>19</v>
      </c>
      <c r="G363" t="s">
        <v>58</v>
      </c>
      <c r="H363" t="s">
        <v>369</v>
      </c>
      <c r="I363">
        <v>1</v>
      </c>
    </row>
    <row r="364" spans="1:9" x14ac:dyDescent="0.3">
      <c r="A364" t="s">
        <v>632</v>
      </c>
      <c r="B364" t="s">
        <v>700</v>
      </c>
      <c r="C364" t="s">
        <v>28</v>
      </c>
      <c r="D364">
        <v>3643.13</v>
      </c>
      <c r="E364">
        <v>3</v>
      </c>
      <c r="F364" t="s">
        <v>24</v>
      </c>
      <c r="G364" t="s">
        <v>29</v>
      </c>
      <c r="H364" t="s">
        <v>615</v>
      </c>
      <c r="I364">
        <v>0</v>
      </c>
    </row>
    <row r="365" spans="1:9" x14ac:dyDescent="0.3">
      <c r="A365" t="s">
        <v>512</v>
      </c>
      <c r="B365" t="s">
        <v>513</v>
      </c>
      <c r="C365" t="s">
        <v>23</v>
      </c>
      <c r="D365">
        <v>456.08</v>
      </c>
      <c r="E365">
        <v>18</v>
      </c>
      <c r="F365" t="s">
        <v>19</v>
      </c>
      <c r="G365" t="s">
        <v>29</v>
      </c>
      <c r="H365" t="s">
        <v>369</v>
      </c>
      <c r="I365">
        <v>1</v>
      </c>
    </row>
    <row r="366" spans="1:9" x14ac:dyDescent="0.3">
      <c r="A366" t="s">
        <v>252</v>
      </c>
      <c r="B366" t="s">
        <v>253</v>
      </c>
      <c r="C366" t="s">
        <v>12</v>
      </c>
      <c r="D366">
        <v>2315.08</v>
      </c>
      <c r="E366">
        <v>30</v>
      </c>
      <c r="F366" t="s">
        <v>36</v>
      </c>
      <c r="G366" t="s">
        <v>25</v>
      </c>
      <c r="H366" t="s">
        <v>15</v>
      </c>
      <c r="I366">
        <v>0</v>
      </c>
    </row>
    <row r="367" spans="1:9" x14ac:dyDescent="0.3">
      <c r="A367" t="s">
        <v>254</v>
      </c>
      <c r="B367" t="s">
        <v>22</v>
      </c>
      <c r="C367" t="s">
        <v>12</v>
      </c>
      <c r="D367">
        <v>1910.69</v>
      </c>
      <c r="E367">
        <v>46</v>
      </c>
      <c r="F367" t="s">
        <v>36</v>
      </c>
      <c r="G367" t="s">
        <v>58</v>
      </c>
      <c r="H367" t="s">
        <v>15</v>
      </c>
      <c r="I367">
        <v>1</v>
      </c>
    </row>
    <row r="368" spans="1:9" x14ac:dyDescent="0.3">
      <c r="A368" t="s">
        <v>355</v>
      </c>
      <c r="B368" t="s">
        <v>514</v>
      </c>
      <c r="C368" t="s">
        <v>12</v>
      </c>
      <c r="D368">
        <v>2597.66</v>
      </c>
      <c r="E368">
        <v>13</v>
      </c>
      <c r="F368" t="s">
        <v>49</v>
      </c>
      <c r="G368" t="s">
        <v>14</v>
      </c>
      <c r="H368" t="s">
        <v>369</v>
      </c>
      <c r="I368">
        <v>0</v>
      </c>
    </row>
    <row r="369" spans="1:9" x14ac:dyDescent="0.3">
      <c r="A369" t="s">
        <v>255</v>
      </c>
      <c r="B369" t="s">
        <v>256</v>
      </c>
      <c r="C369" t="s">
        <v>23</v>
      </c>
      <c r="D369">
        <v>338.22</v>
      </c>
      <c r="E369">
        <v>6</v>
      </c>
      <c r="F369" t="s">
        <v>49</v>
      </c>
      <c r="G369" t="s">
        <v>14</v>
      </c>
      <c r="H369" t="s">
        <v>15</v>
      </c>
      <c r="I369">
        <v>1</v>
      </c>
    </row>
    <row r="370" spans="1:9" x14ac:dyDescent="0.3">
      <c r="A370" t="s">
        <v>515</v>
      </c>
      <c r="B370" t="s">
        <v>516</v>
      </c>
      <c r="C370" t="s">
        <v>28</v>
      </c>
      <c r="D370">
        <v>3340.87</v>
      </c>
      <c r="E370">
        <v>50</v>
      </c>
      <c r="F370" t="s">
        <v>24</v>
      </c>
      <c r="G370" t="s">
        <v>20</v>
      </c>
      <c r="H370" t="s">
        <v>369</v>
      </c>
      <c r="I370">
        <v>0</v>
      </c>
    </row>
    <row r="371" spans="1:9" x14ac:dyDescent="0.3">
      <c r="A371" t="s">
        <v>288</v>
      </c>
      <c r="B371" t="s">
        <v>727</v>
      </c>
      <c r="C371" t="s">
        <v>12</v>
      </c>
      <c r="D371">
        <v>4265.63</v>
      </c>
      <c r="E371">
        <v>20</v>
      </c>
      <c r="F371" t="s">
        <v>19</v>
      </c>
      <c r="G371" t="s">
        <v>14</v>
      </c>
      <c r="H371" t="s">
        <v>615</v>
      </c>
      <c r="I371">
        <v>1</v>
      </c>
    </row>
    <row r="372" spans="1:9" x14ac:dyDescent="0.3">
      <c r="A372" t="s">
        <v>283</v>
      </c>
      <c r="B372" t="s">
        <v>487</v>
      </c>
      <c r="C372" t="s">
        <v>12</v>
      </c>
      <c r="D372">
        <v>1328.39</v>
      </c>
      <c r="E372">
        <v>13</v>
      </c>
      <c r="F372" t="s">
        <v>49</v>
      </c>
      <c r="G372" t="s">
        <v>25</v>
      </c>
      <c r="H372" t="s">
        <v>615</v>
      </c>
      <c r="I372">
        <v>1</v>
      </c>
    </row>
    <row r="373" spans="1:9" x14ac:dyDescent="0.3">
      <c r="A373" t="s">
        <v>417</v>
      </c>
      <c r="B373" t="s">
        <v>517</v>
      </c>
      <c r="C373" t="s">
        <v>23</v>
      </c>
      <c r="D373">
        <v>1061.53</v>
      </c>
      <c r="E373">
        <v>3</v>
      </c>
      <c r="F373" t="s">
        <v>13</v>
      </c>
      <c r="G373" t="s">
        <v>46</v>
      </c>
      <c r="H373" t="s">
        <v>369</v>
      </c>
      <c r="I373">
        <v>0</v>
      </c>
    </row>
    <row r="374" spans="1:9" x14ac:dyDescent="0.3">
      <c r="A374" t="s">
        <v>518</v>
      </c>
      <c r="B374" t="s">
        <v>519</v>
      </c>
      <c r="C374" t="s">
        <v>23</v>
      </c>
      <c r="D374">
        <v>4016.44</v>
      </c>
      <c r="E374">
        <v>47</v>
      </c>
      <c r="F374" t="s">
        <v>13</v>
      </c>
      <c r="G374" t="s">
        <v>20</v>
      </c>
      <c r="H374" t="s">
        <v>369</v>
      </c>
      <c r="I374">
        <v>0</v>
      </c>
    </row>
    <row r="375" spans="1:9" x14ac:dyDescent="0.3">
      <c r="A375" t="s">
        <v>62</v>
      </c>
      <c r="B375" t="s">
        <v>257</v>
      </c>
      <c r="C375" t="s">
        <v>23</v>
      </c>
      <c r="D375">
        <v>1951.25</v>
      </c>
      <c r="E375">
        <v>15</v>
      </c>
      <c r="F375" t="s">
        <v>36</v>
      </c>
      <c r="G375" t="s">
        <v>46</v>
      </c>
      <c r="H375" t="s">
        <v>15</v>
      </c>
      <c r="I375">
        <v>0</v>
      </c>
    </row>
    <row r="376" spans="1:9" x14ac:dyDescent="0.3">
      <c r="A376" t="s">
        <v>728</v>
      </c>
      <c r="B376" t="s">
        <v>692</v>
      </c>
      <c r="C376" t="s">
        <v>12</v>
      </c>
      <c r="D376">
        <v>1900.7</v>
      </c>
      <c r="E376">
        <v>13</v>
      </c>
      <c r="F376" t="s">
        <v>19</v>
      </c>
      <c r="G376" t="s">
        <v>20</v>
      </c>
      <c r="H376" t="s">
        <v>615</v>
      </c>
      <c r="I376">
        <v>0</v>
      </c>
    </row>
    <row r="377" spans="1:9" x14ac:dyDescent="0.3">
      <c r="A377" t="s">
        <v>729</v>
      </c>
      <c r="B377" t="s">
        <v>730</v>
      </c>
      <c r="C377" t="s">
        <v>35</v>
      </c>
      <c r="D377">
        <v>968.95</v>
      </c>
      <c r="E377">
        <v>25</v>
      </c>
      <c r="F377" t="s">
        <v>13</v>
      </c>
      <c r="G377" t="s">
        <v>20</v>
      </c>
      <c r="H377" t="s">
        <v>615</v>
      </c>
      <c r="I377">
        <v>0</v>
      </c>
    </row>
    <row r="378" spans="1:9" x14ac:dyDescent="0.3">
      <c r="A378" t="s">
        <v>258</v>
      </c>
      <c r="B378" t="s">
        <v>162</v>
      </c>
      <c r="C378" t="s">
        <v>12</v>
      </c>
      <c r="D378">
        <v>1879.4</v>
      </c>
      <c r="E378">
        <v>37</v>
      </c>
      <c r="F378" t="s">
        <v>36</v>
      </c>
      <c r="G378" t="s">
        <v>46</v>
      </c>
      <c r="H378" t="s">
        <v>15</v>
      </c>
      <c r="I378">
        <v>1</v>
      </c>
    </row>
    <row r="379" spans="1:9" x14ac:dyDescent="0.3">
      <c r="A379" t="s">
        <v>259</v>
      </c>
      <c r="B379" t="s">
        <v>260</v>
      </c>
      <c r="C379" t="s">
        <v>28</v>
      </c>
      <c r="D379">
        <v>4292.45</v>
      </c>
      <c r="E379">
        <v>4</v>
      </c>
      <c r="F379" t="s">
        <v>24</v>
      </c>
      <c r="G379" t="s">
        <v>29</v>
      </c>
      <c r="H379" t="s">
        <v>15</v>
      </c>
      <c r="I379">
        <v>0</v>
      </c>
    </row>
    <row r="380" spans="1:9" x14ac:dyDescent="0.3">
      <c r="A380" t="s">
        <v>467</v>
      </c>
      <c r="B380" t="s">
        <v>267</v>
      </c>
      <c r="C380" t="s">
        <v>35</v>
      </c>
      <c r="D380">
        <v>4587.93</v>
      </c>
      <c r="E380">
        <v>29</v>
      </c>
      <c r="F380" t="s">
        <v>36</v>
      </c>
      <c r="G380" t="s">
        <v>58</v>
      </c>
      <c r="H380" t="s">
        <v>615</v>
      </c>
      <c r="I380">
        <v>0</v>
      </c>
    </row>
    <row r="381" spans="1:9" x14ac:dyDescent="0.3">
      <c r="A381" t="s">
        <v>520</v>
      </c>
      <c r="B381" t="s">
        <v>521</v>
      </c>
      <c r="C381" t="s">
        <v>35</v>
      </c>
      <c r="D381">
        <v>3510.17</v>
      </c>
      <c r="E381">
        <v>27</v>
      </c>
      <c r="F381" t="s">
        <v>36</v>
      </c>
      <c r="G381" t="s">
        <v>46</v>
      </c>
      <c r="H381" t="s">
        <v>369</v>
      </c>
      <c r="I381">
        <v>0</v>
      </c>
    </row>
    <row r="382" spans="1:9" x14ac:dyDescent="0.3">
      <c r="A382" t="s">
        <v>254</v>
      </c>
      <c r="B382" t="s">
        <v>261</v>
      </c>
      <c r="C382" t="s">
        <v>28</v>
      </c>
      <c r="D382">
        <v>2706.96</v>
      </c>
      <c r="E382">
        <v>40</v>
      </c>
      <c r="F382" t="s">
        <v>19</v>
      </c>
      <c r="G382" t="s">
        <v>29</v>
      </c>
      <c r="H382" t="s">
        <v>15</v>
      </c>
      <c r="I382">
        <v>1</v>
      </c>
    </row>
    <row r="383" spans="1:9" x14ac:dyDescent="0.3">
      <c r="A383" t="s">
        <v>522</v>
      </c>
      <c r="B383" t="s">
        <v>276</v>
      </c>
      <c r="C383" t="s">
        <v>12</v>
      </c>
      <c r="D383">
        <v>465.11</v>
      </c>
      <c r="E383">
        <v>17</v>
      </c>
      <c r="F383" t="s">
        <v>49</v>
      </c>
      <c r="G383" t="s">
        <v>14</v>
      </c>
      <c r="H383" t="s">
        <v>369</v>
      </c>
      <c r="I383">
        <v>0</v>
      </c>
    </row>
    <row r="384" spans="1:9" x14ac:dyDescent="0.3">
      <c r="A384" t="s">
        <v>262</v>
      </c>
      <c r="B384" t="s">
        <v>77</v>
      </c>
      <c r="C384" t="s">
        <v>23</v>
      </c>
      <c r="D384">
        <v>3820.11</v>
      </c>
      <c r="E384">
        <v>7</v>
      </c>
      <c r="F384" t="s">
        <v>45</v>
      </c>
      <c r="G384" t="s">
        <v>58</v>
      </c>
      <c r="H384" t="s">
        <v>15</v>
      </c>
      <c r="I384">
        <v>1</v>
      </c>
    </row>
    <row r="385" spans="1:9" x14ac:dyDescent="0.3">
      <c r="A385" t="s">
        <v>292</v>
      </c>
      <c r="B385" t="s">
        <v>504</v>
      </c>
      <c r="C385" t="s">
        <v>12</v>
      </c>
      <c r="D385">
        <v>2640.66</v>
      </c>
      <c r="E385">
        <v>27</v>
      </c>
      <c r="F385" t="s">
        <v>24</v>
      </c>
      <c r="G385" t="s">
        <v>20</v>
      </c>
      <c r="H385" t="s">
        <v>615</v>
      </c>
      <c r="I385">
        <v>1</v>
      </c>
    </row>
    <row r="386" spans="1:9" x14ac:dyDescent="0.3">
      <c r="A386" t="s">
        <v>247</v>
      </c>
      <c r="B386" t="s">
        <v>263</v>
      </c>
      <c r="C386" t="s">
        <v>12</v>
      </c>
      <c r="D386">
        <v>4751.93</v>
      </c>
      <c r="E386">
        <v>10</v>
      </c>
      <c r="F386" t="s">
        <v>36</v>
      </c>
      <c r="G386" t="s">
        <v>46</v>
      </c>
      <c r="H386" t="s">
        <v>15</v>
      </c>
      <c r="I386">
        <v>0</v>
      </c>
    </row>
    <row r="387" spans="1:9" x14ac:dyDescent="0.3">
      <c r="A387" t="s">
        <v>264</v>
      </c>
      <c r="B387" t="s">
        <v>265</v>
      </c>
      <c r="C387" t="s">
        <v>23</v>
      </c>
      <c r="D387">
        <v>4880.12</v>
      </c>
      <c r="E387">
        <v>35</v>
      </c>
      <c r="F387" t="s">
        <v>49</v>
      </c>
      <c r="G387" t="s">
        <v>14</v>
      </c>
      <c r="H387" t="s">
        <v>15</v>
      </c>
      <c r="I387">
        <v>1</v>
      </c>
    </row>
    <row r="388" spans="1:9" x14ac:dyDescent="0.3">
      <c r="A388" t="s">
        <v>266</v>
      </c>
      <c r="B388" t="s">
        <v>267</v>
      </c>
      <c r="C388" t="s">
        <v>12</v>
      </c>
      <c r="D388">
        <v>2412.33</v>
      </c>
      <c r="E388">
        <v>45</v>
      </c>
      <c r="F388" t="s">
        <v>45</v>
      </c>
      <c r="G388" t="s">
        <v>25</v>
      </c>
      <c r="H388" t="s">
        <v>15</v>
      </c>
      <c r="I388">
        <v>0</v>
      </c>
    </row>
    <row r="389" spans="1:9" x14ac:dyDescent="0.3">
      <c r="A389" t="s">
        <v>523</v>
      </c>
      <c r="B389" t="s">
        <v>524</v>
      </c>
      <c r="C389" t="s">
        <v>28</v>
      </c>
      <c r="D389">
        <v>4368.0600000000004</v>
      </c>
      <c r="E389">
        <v>13</v>
      </c>
      <c r="F389" t="s">
        <v>19</v>
      </c>
      <c r="G389" t="s">
        <v>58</v>
      </c>
      <c r="H389" t="s">
        <v>369</v>
      </c>
      <c r="I389">
        <v>1</v>
      </c>
    </row>
    <row r="390" spans="1:9" x14ac:dyDescent="0.3">
      <c r="A390" t="s">
        <v>488</v>
      </c>
      <c r="B390" t="s">
        <v>299</v>
      </c>
      <c r="C390" t="s">
        <v>28</v>
      </c>
      <c r="D390">
        <v>3499.56</v>
      </c>
      <c r="E390">
        <v>16</v>
      </c>
      <c r="F390" t="s">
        <v>19</v>
      </c>
      <c r="G390" t="s">
        <v>14</v>
      </c>
      <c r="H390" t="s">
        <v>615</v>
      </c>
      <c r="I390">
        <v>0</v>
      </c>
    </row>
    <row r="391" spans="1:9" x14ac:dyDescent="0.3">
      <c r="A391" t="s">
        <v>731</v>
      </c>
      <c r="B391" t="s">
        <v>134</v>
      </c>
      <c r="C391" t="s">
        <v>23</v>
      </c>
      <c r="D391">
        <v>1647.2</v>
      </c>
      <c r="E391">
        <v>49</v>
      </c>
      <c r="F391" t="s">
        <v>45</v>
      </c>
      <c r="G391" t="s">
        <v>46</v>
      </c>
      <c r="H391" t="s">
        <v>615</v>
      </c>
      <c r="I391">
        <v>0</v>
      </c>
    </row>
    <row r="392" spans="1:9" x14ac:dyDescent="0.3">
      <c r="A392" t="s">
        <v>732</v>
      </c>
      <c r="B392" t="s">
        <v>733</v>
      </c>
      <c r="C392" t="s">
        <v>28</v>
      </c>
      <c r="D392">
        <v>3323.12</v>
      </c>
      <c r="E392">
        <v>18</v>
      </c>
      <c r="F392" t="s">
        <v>24</v>
      </c>
      <c r="G392" t="s">
        <v>58</v>
      </c>
      <c r="H392" t="s">
        <v>615</v>
      </c>
      <c r="I392">
        <v>0</v>
      </c>
    </row>
    <row r="393" spans="1:9" x14ac:dyDescent="0.3">
      <c r="A393" t="s">
        <v>551</v>
      </c>
      <c r="B393" t="s">
        <v>734</v>
      </c>
      <c r="C393" t="s">
        <v>28</v>
      </c>
      <c r="D393">
        <v>1105.8</v>
      </c>
      <c r="E393">
        <v>18</v>
      </c>
      <c r="F393" t="s">
        <v>49</v>
      </c>
      <c r="G393" t="s">
        <v>58</v>
      </c>
      <c r="H393" t="s">
        <v>615</v>
      </c>
      <c r="I393">
        <v>0</v>
      </c>
    </row>
    <row r="394" spans="1:9" x14ac:dyDescent="0.3">
      <c r="A394" t="s">
        <v>60</v>
      </c>
      <c r="B394" t="s">
        <v>735</v>
      </c>
      <c r="C394" t="s">
        <v>28</v>
      </c>
      <c r="D394">
        <v>1693.58</v>
      </c>
      <c r="E394">
        <v>36</v>
      </c>
      <c r="F394" t="s">
        <v>13</v>
      </c>
      <c r="G394" t="s">
        <v>20</v>
      </c>
      <c r="H394" t="s">
        <v>615</v>
      </c>
      <c r="I394">
        <v>0</v>
      </c>
    </row>
    <row r="395" spans="1:9" x14ac:dyDescent="0.3">
      <c r="A395" t="s">
        <v>736</v>
      </c>
      <c r="B395" t="s">
        <v>737</v>
      </c>
      <c r="C395" t="s">
        <v>23</v>
      </c>
      <c r="D395">
        <v>4443.46</v>
      </c>
      <c r="E395">
        <v>46</v>
      </c>
      <c r="F395" t="s">
        <v>45</v>
      </c>
      <c r="G395" t="s">
        <v>58</v>
      </c>
      <c r="H395" t="s">
        <v>615</v>
      </c>
      <c r="I395">
        <v>1</v>
      </c>
    </row>
    <row r="396" spans="1:9" x14ac:dyDescent="0.3">
      <c r="A396" t="s">
        <v>72</v>
      </c>
      <c r="B396" t="s">
        <v>183</v>
      </c>
      <c r="C396" t="s">
        <v>28</v>
      </c>
      <c r="D396">
        <v>1646.58</v>
      </c>
      <c r="E396">
        <v>19</v>
      </c>
      <c r="F396" t="s">
        <v>36</v>
      </c>
      <c r="G396" t="s">
        <v>14</v>
      </c>
      <c r="H396" t="s">
        <v>15</v>
      </c>
      <c r="I396">
        <v>0</v>
      </c>
    </row>
    <row r="397" spans="1:9" x14ac:dyDescent="0.3">
      <c r="A397" t="s">
        <v>738</v>
      </c>
      <c r="B397" t="s">
        <v>154</v>
      </c>
      <c r="C397" t="s">
        <v>28</v>
      </c>
      <c r="D397">
        <v>1268.94</v>
      </c>
      <c r="E397">
        <v>17</v>
      </c>
      <c r="F397" t="s">
        <v>19</v>
      </c>
      <c r="G397" t="s">
        <v>29</v>
      </c>
      <c r="H397" t="s">
        <v>615</v>
      </c>
      <c r="I397">
        <v>0</v>
      </c>
    </row>
    <row r="398" spans="1:9" x14ac:dyDescent="0.3">
      <c r="A398" t="s">
        <v>268</v>
      </c>
      <c r="B398" t="s">
        <v>120</v>
      </c>
      <c r="C398" t="s">
        <v>28</v>
      </c>
      <c r="D398">
        <v>710.02</v>
      </c>
      <c r="E398">
        <v>14</v>
      </c>
      <c r="F398" t="s">
        <v>36</v>
      </c>
      <c r="G398" t="s">
        <v>25</v>
      </c>
      <c r="H398" t="s">
        <v>15</v>
      </c>
      <c r="I398">
        <v>1</v>
      </c>
    </row>
    <row r="399" spans="1:9" x14ac:dyDescent="0.3">
      <c r="A399" t="s">
        <v>236</v>
      </c>
      <c r="B399" t="s">
        <v>269</v>
      </c>
      <c r="C399" t="s">
        <v>23</v>
      </c>
      <c r="D399">
        <v>3170.17</v>
      </c>
      <c r="E399">
        <v>50</v>
      </c>
      <c r="F399" t="s">
        <v>36</v>
      </c>
      <c r="G399" t="s">
        <v>58</v>
      </c>
      <c r="H399" t="s">
        <v>15</v>
      </c>
      <c r="I399">
        <v>0</v>
      </c>
    </row>
    <row r="400" spans="1:9" x14ac:dyDescent="0.3">
      <c r="A400" t="s">
        <v>391</v>
      </c>
      <c r="B400" t="s">
        <v>735</v>
      </c>
      <c r="C400" t="s">
        <v>35</v>
      </c>
      <c r="D400">
        <v>3675.39</v>
      </c>
      <c r="E400">
        <v>2</v>
      </c>
      <c r="F400" t="s">
        <v>36</v>
      </c>
      <c r="G400" t="s">
        <v>58</v>
      </c>
      <c r="H400" t="s">
        <v>615</v>
      </c>
      <c r="I400">
        <v>0</v>
      </c>
    </row>
    <row r="401" spans="1:9" x14ac:dyDescent="0.3">
      <c r="A401" t="s">
        <v>690</v>
      </c>
      <c r="B401" t="s">
        <v>656</v>
      </c>
      <c r="C401" t="s">
        <v>28</v>
      </c>
      <c r="D401">
        <v>816.23</v>
      </c>
      <c r="E401">
        <v>41</v>
      </c>
      <c r="F401" t="s">
        <v>24</v>
      </c>
      <c r="G401" t="s">
        <v>46</v>
      </c>
      <c r="H401" t="s">
        <v>615</v>
      </c>
      <c r="I401">
        <v>1</v>
      </c>
    </row>
    <row r="402" spans="1:9" x14ac:dyDescent="0.3">
      <c r="A402" t="s">
        <v>739</v>
      </c>
      <c r="B402" t="s">
        <v>709</v>
      </c>
      <c r="C402" t="s">
        <v>12</v>
      </c>
      <c r="D402">
        <v>2985.28</v>
      </c>
      <c r="E402">
        <v>38</v>
      </c>
      <c r="F402" t="s">
        <v>36</v>
      </c>
      <c r="G402" t="s">
        <v>46</v>
      </c>
      <c r="H402" t="s">
        <v>615</v>
      </c>
      <c r="I402">
        <v>1</v>
      </c>
    </row>
    <row r="403" spans="1:9" x14ac:dyDescent="0.3">
      <c r="A403" t="s">
        <v>228</v>
      </c>
      <c r="B403" t="s">
        <v>96</v>
      </c>
      <c r="C403" t="s">
        <v>23</v>
      </c>
      <c r="D403">
        <v>4081.24</v>
      </c>
      <c r="E403">
        <v>50</v>
      </c>
      <c r="F403" t="s">
        <v>19</v>
      </c>
      <c r="G403" t="s">
        <v>25</v>
      </c>
      <c r="H403" t="s">
        <v>615</v>
      </c>
      <c r="I403">
        <v>1</v>
      </c>
    </row>
    <row r="404" spans="1:9" x14ac:dyDescent="0.3">
      <c r="A404" t="s">
        <v>525</v>
      </c>
      <c r="B404" t="s">
        <v>370</v>
      </c>
      <c r="C404" t="s">
        <v>35</v>
      </c>
      <c r="D404">
        <v>4859.1899999999996</v>
      </c>
      <c r="E404">
        <v>32</v>
      </c>
      <c r="F404" t="s">
        <v>49</v>
      </c>
      <c r="G404" t="s">
        <v>14</v>
      </c>
      <c r="H404" t="s">
        <v>369</v>
      </c>
      <c r="I404">
        <v>0</v>
      </c>
    </row>
    <row r="405" spans="1:9" x14ac:dyDescent="0.3">
      <c r="A405" t="s">
        <v>220</v>
      </c>
      <c r="B405" t="s">
        <v>526</v>
      </c>
      <c r="C405" t="s">
        <v>12</v>
      </c>
      <c r="D405">
        <v>490.28</v>
      </c>
      <c r="E405">
        <v>35</v>
      </c>
      <c r="F405" t="s">
        <v>45</v>
      </c>
      <c r="G405" t="s">
        <v>25</v>
      </c>
      <c r="H405" t="s">
        <v>369</v>
      </c>
      <c r="I405">
        <v>1</v>
      </c>
    </row>
    <row r="406" spans="1:9" x14ac:dyDescent="0.3">
      <c r="A406" t="s">
        <v>184</v>
      </c>
      <c r="B406" t="s">
        <v>740</v>
      </c>
      <c r="C406" t="s">
        <v>35</v>
      </c>
      <c r="D406">
        <v>164.13</v>
      </c>
      <c r="E406">
        <v>19</v>
      </c>
      <c r="F406" t="s">
        <v>49</v>
      </c>
      <c r="G406" t="s">
        <v>46</v>
      </c>
      <c r="H406" t="s">
        <v>615</v>
      </c>
      <c r="I406">
        <v>0</v>
      </c>
    </row>
    <row r="407" spans="1:9" x14ac:dyDescent="0.3">
      <c r="A407" t="s">
        <v>43</v>
      </c>
      <c r="B407" t="s">
        <v>270</v>
      </c>
      <c r="C407" t="s">
        <v>35</v>
      </c>
      <c r="D407">
        <v>1394.43</v>
      </c>
      <c r="E407">
        <v>44</v>
      </c>
      <c r="F407" t="s">
        <v>13</v>
      </c>
      <c r="G407" t="s">
        <v>25</v>
      </c>
      <c r="H407" t="s">
        <v>15</v>
      </c>
      <c r="I407">
        <v>1</v>
      </c>
    </row>
    <row r="408" spans="1:9" x14ac:dyDescent="0.3">
      <c r="A408" t="s">
        <v>707</v>
      </c>
      <c r="B408" t="s">
        <v>741</v>
      </c>
      <c r="C408" t="s">
        <v>23</v>
      </c>
      <c r="D408">
        <v>3339.54</v>
      </c>
      <c r="E408">
        <v>41</v>
      </c>
      <c r="F408" t="s">
        <v>19</v>
      </c>
      <c r="G408" t="s">
        <v>25</v>
      </c>
      <c r="H408" t="s">
        <v>615</v>
      </c>
      <c r="I408">
        <v>1</v>
      </c>
    </row>
    <row r="409" spans="1:9" x14ac:dyDescent="0.3">
      <c r="A409" t="s">
        <v>107</v>
      </c>
      <c r="B409" t="s">
        <v>742</v>
      </c>
      <c r="C409" t="s">
        <v>23</v>
      </c>
      <c r="D409">
        <v>4296.3</v>
      </c>
      <c r="E409">
        <v>25</v>
      </c>
      <c r="F409" t="s">
        <v>24</v>
      </c>
      <c r="G409" t="s">
        <v>58</v>
      </c>
      <c r="H409" t="s">
        <v>615</v>
      </c>
      <c r="I409">
        <v>1</v>
      </c>
    </row>
    <row r="410" spans="1:9" x14ac:dyDescent="0.3">
      <c r="A410" t="s">
        <v>743</v>
      </c>
      <c r="B410" t="s">
        <v>744</v>
      </c>
      <c r="C410" t="s">
        <v>35</v>
      </c>
      <c r="D410">
        <v>459.78</v>
      </c>
      <c r="E410">
        <v>46</v>
      </c>
      <c r="F410" t="s">
        <v>13</v>
      </c>
      <c r="G410" t="s">
        <v>14</v>
      </c>
      <c r="H410" t="s">
        <v>615</v>
      </c>
      <c r="I410">
        <v>0</v>
      </c>
    </row>
    <row r="411" spans="1:9" x14ac:dyDescent="0.3">
      <c r="A411" t="s">
        <v>247</v>
      </c>
      <c r="B411" t="s">
        <v>201</v>
      </c>
      <c r="C411" t="s">
        <v>23</v>
      </c>
      <c r="D411">
        <v>2761.91</v>
      </c>
      <c r="E411">
        <v>21</v>
      </c>
      <c r="F411" t="s">
        <v>49</v>
      </c>
      <c r="G411" t="s">
        <v>25</v>
      </c>
      <c r="H411" t="s">
        <v>15</v>
      </c>
      <c r="I411">
        <v>0</v>
      </c>
    </row>
    <row r="412" spans="1:9" x14ac:dyDescent="0.3">
      <c r="A412" t="s">
        <v>271</v>
      </c>
      <c r="B412" t="s">
        <v>272</v>
      </c>
      <c r="C412" t="s">
        <v>23</v>
      </c>
      <c r="D412">
        <v>1455.71</v>
      </c>
      <c r="E412">
        <v>20</v>
      </c>
      <c r="F412" t="s">
        <v>49</v>
      </c>
      <c r="G412" t="s">
        <v>20</v>
      </c>
      <c r="H412" t="s">
        <v>15</v>
      </c>
      <c r="I412">
        <v>1</v>
      </c>
    </row>
    <row r="413" spans="1:9" x14ac:dyDescent="0.3">
      <c r="A413" t="s">
        <v>745</v>
      </c>
      <c r="B413" t="s">
        <v>470</v>
      </c>
      <c r="C413" t="s">
        <v>12</v>
      </c>
      <c r="D413">
        <v>4128.66</v>
      </c>
      <c r="E413">
        <v>34</v>
      </c>
      <c r="F413" t="s">
        <v>13</v>
      </c>
      <c r="G413" t="s">
        <v>20</v>
      </c>
      <c r="H413" t="s">
        <v>615</v>
      </c>
      <c r="I413">
        <v>1</v>
      </c>
    </row>
    <row r="414" spans="1:9" x14ac:dyDescent="0.3">
      <c r="A414" t="s">
        <v>527</v>
      </c>
      <c r="B414" t="s">
        <v>528</v>
      </c>
      <c r="C414" t="s">
        <v>35</v>
      </c>
      <c r="D414">
        <v>4008.26</v>
      </c>
      <c r="E414">
        <v>48</v>
      </c>
      <c r="F414" t="s">
        <v>45</v>
      </c>
      <c r="G414" t="s">
        <v>46</v>
      </c>
      <c r="H414" t="s">
        <v>369</v>
      </c>
      <c r="I414">
        <v>1</v>
      </c>
    </row>
    <row r="415" spans="1:9" x14ac:dyDescent="0.3">
      <c r="A415" t="s">
        <v>329</v>
      </c>
      <c r="B415" t="s">
        <v>257</v>
      </c>
      <c r="C415" t="s">
        <v>12</v>
      </c>
      <c r="D415">
        <v>4843.3100000000004</v>
      </c>
      <c r="E415">
        <v>7</v>
      </c>
      <c r="F415" t="s">
        <v>49</v>
      </c>
      <c r="G415" t="s">
        <v>14</v>
      </c>
      <c r="H415" t="s">
        <v>615</v>
      </c>
      <c r="I415">
        <v>1</v>
      </c>
    </row>
    <row r="416" spans="1:9" x14ac:dyDescent="0.3">
      <c r="A416" t="s">
        <v>739</v>
      </c>
      <c r="B416" t="s">
        <v>746</v>
      </c>
      <c r="C416" t="s">
        <v>28</v>
      </c>
      <c r="D416">
        <v>940.59</v>
      </c>
      <c r="E416">
        <v>28</v>
      </c>
      <c r="F416" t="s">
        <v>19</v>
      </c>
      <c r="G416" t="s">
        <v>25</v>
      </c>
      <c r="H416" t="s">
        <v>615</v>
      </c>
      <c r="I416">
        <v>1</v>
      </c>
    </row>
    <row r="417" spans="1:9" x14ac:dyDescent="0.3">
      <c r="A417" t="s">
        <v>111</v>
      </c>
      <c r="B417" t="s">
        <v>102</v>
      </c>
      <c r="C417" t="s">
        <v>35</v>
      </c>
      <c r="D417">
        <v>25.31</v>
      </c>
      <c r="E417">
        <v>10</v>
      </c>
      <c r="F417" t="s">
        <v>36</v>
      </c>
      <c r="G417" t="s">
        <v>14</v>
      </c>
      <c r="H417" t="s">
        <v>15</v>
      </c>
      <c r="I417">
        <v>0</v>
      </c>
    </row>
    <row r="418" spans="1:9" x14ac:dyDescent="0.3">
      <c r="A418" t="s">
        <v>273</v>
      </c>
      <c r="B418" t="s">
        <v>274</v>
      </c>
      <c r="C418" t="s">
        <v>35</v>
      </c>
      <c r="D418">
        <v>3405.72</v>
      </c>
      <c r="E418">
        <v>19</v>
      </c>
      <c r="F418" t="s">
        <v>36</v>
      </c>
      <c r="G418" t="s">
        <v>58</v>
      </c>
      <c r="H418" t="s">
        <v>15</v>
      </c>
      <c r="I418">
        <v>0</v>
      </c>
    </row>
    <row r="419" spans="1:9" x14ac:dyDescent="0.3">
      <c r="A419" t="s">
        <v>529</v>
      </c>
      <c r="B419" t="s">
        <v>530</v>
      </c>
      <c r="C419" t="s">
        <v>23</v>
      </c>
      <c r="D419">
        <v>1341.47</v>
      </c>
      <c r="E419">
        <v>32</v>
      </c>
      <c r="F419" t="s">
        <v>13</v>
      </c>
      <c r="G419" t="s">
        <v>58</v>
      </c>
      <c r="H419" t="s">
        <v>369</v>
      </c>
      <c r="I419">
        <v>1</v>
      </c>
    </row>
    <row r="420" spans="1:9" x14ac:dyDescent="0.3">
      <c r="A420" t="s">
        <v>531</v>
      </c>
      <c r="B420" t="s">
        <v>532</v>
      </c>
      <c r="C420" t="s">
        <v>23</v>
      </c>
      <c r="D420">
        <v>1270.71</v>
      </c>
      <c r="E420">
        <v>8</v>
      </c>
      <c r="F420" t="s">
        <v>13</v>
      </c>
      <c r="G420" t="s">
        <v>20</v>
      </c>
      <c r="H420" t="s">
        <v>369</v>
      </c>
      <c r="I420">
        <v>0</v>
      </c>
    </row>
    <row r="421" spans="1:9" x14ac:dyDescent="0.3">
      <c r="A421" t="s">
        <v>275</v>
      </c>
      <c r="B421" t="s">
        <v>276</v>
      </c>
      <c r="C421" t="s">
        <v>23</v>
      </c>
      <c r="D421">
        <v>180.94</v>
      </c>
      <c r="E421">
        <v>4</v>
      </c>
      <c r="F421" t="s">
        <v>36</v>
      </c>
      <c r="G421" t="s">
        <v>25</v>
      </c>
      <c r="H421" t="s">
        <v>15</v>
      </c>
      <c r="I421">
        <v>1</v>
      </c>
    </row>
    <row r="422" spans="1:9" x14ac:dyDescent="0.3">
      <c r="A422" t="s">
        <v>441</v>
      </c>
      <c r="B422" t="s">
        <v>533</v>
      </c>
      <c r="C422" t="s">
        <v>23</v>
      </c>
      <c r="D422">
        <v>2030.48</v>
      </c>
      <c r="E422">
        <v>41</v>
      </c>
      <c r="F422" t="s">
        <v>24</v>
      </c>
      <c r="G422" t="s">
        <v>29</v>
      </c>
      <c r="H422" t="s">
        <v>369</v>
      </c>
      <c r="I422">
        <v>0</v>
      </c>
    </row>
    <row r="423" spans="1:9" x14ac:dyDescent="0.3">
      <c r="A423" t="s">
        <v>277</v>
      </c>
      <c r="B423" t="s">
        <v>278</v>
      </c>
      <c r="C423" t="s">
        <v>28</v>
      </c>
      <c r="D423">
        <v>785.26</v>
      </c>
      <c r="E423">
        <v>50</v>
      </c>
      <c r="F423" t="s">
        <v>45</v>
      </c>
      <c r="G423" t="s">
        <v>58</v>
      </c>
      <c r="H423" t="s">
        <v>15</v>
      </c>
      <c r="I423">
        <v>0</v>
      </c>
    </row>
    <row r="424" spans="1:9" x14ac:dyDescent="0.3">
      <c r="A424" t="s">
        <v>228</v>
      </c>
      <c r="B424" t="s">
        <v>747</v>
      </c>
      <c r="C424" t="s">
        <v>28</v>
      </c>
      <c r="D424">
        <v>496.19</v>
      </c>
      <c r="E424">
        <v>47</v>
      </c>
      <c r="F424" t="s">
        <v>19</v>
      </c>
      <c r="G424" t="s">
        <v>58</v>
      </c>
      <c r="H424" t="s">
        <v>615</v>
      </c>
      <c r="I424">
        <v>1</v>
      </c>
    </row>
    <row r="425" spans="1:9" x14ac:dyDescent="0.3">
      <c r="A425" t="s">
        <v>748</v>
      </c>
      <c r="B425" t="s">
        <v>749</v>
      </c>
      <c r="C425" t="s">
        <v>28</v>
      </c>
      <c r="D425">
        <v>3157.63</v>
      </c>
      <c r="E425">
        <v>50</v>
      </c>
      <c r="F425" t="s">
        <v>24</v>
      </c>
      <c r="G425" t="s">
        <v>29</v>
      </c>
      <c r="H425" t="s">
        <v>615</v>
      </c>
      <c r="I425">
        <v>1</v>
      </c>
    </row>
    <row r="426" spans="1:9" x14ac:dyDescent="0.3">
      <c r="A426" t="s">
        <v>750</v>
      </c>
      <c r="B426" t="s">
        <v>621</v>
      </c>
      <c r="C426" t="s">
        <v>12</v>
      </c>
      <c r="D426">
        <v>520.99</v>
      </c>
      <c r="E426">
        <v>42</v>
      </c>
      <c r="F426" t="s">
        <v>36</v>
      </c>
      <c r="G426" t="s">
        <v>46</v>
      </c>
      <c r="H426" t="s">
        <v>615</v>
      </c>
      <c r="I426">
        <v>1</v>
      </c>
    </row>
    <row r="427" spans="1:9" x14ac:dyDescent="0.3">
      <c r="A427" t="s">
        <v>279</v>
      </c>
      <c r="B427" t="s">
        <v>280</v>
      </c>
      <c r="C427" t="s">
        <v>35</v>
      </c>
      <c r="D427">
        <v>4747.37</v>
      </c>
      <c r="E427">
        <v>14</v>
      </c>
      <c r="F427" t="s">
        <v>13</v>
      </c>
      <c r="G427" t="s">
        <v>58</v>
      </c>
      <c r="H427" t="s">
        <v>15</v>
      </c>
      <c r="I427">
        <v>1</v>
      </c>
    </row>
    <row r="428" spans="1:9" x14ac:dyDescent="0.3">
      <c r="A428" t="s">
        <v>216</v>
      </c>
      <c r="B428" t="s">
        <v>534</v>
      </c>
      <c r="C428" t="s">
        <v>28</v>
      </c>
      <c r="D428">
        <v>4493.34</v>
      </c>
      <c r="E428">
        <v>34</v>
      </c>
      <c r="F428" t="s">
        <v>24</v>
      </c>
      <c r="G428" t="s">
        <v>46</v>
      </c>
      <c r="H428" t="s">
        <v>369</v>
      </c>
      <c r="I428">
        <v>1</v>
      </c>
    </row>
    <row r="429" spans="1:9" x14ac:dyDescent="0.3">
      <c r="A429" t="s">
        <v>281</v>
      </c>
      <c r="B429" t="s">
        <v>282</v>
      </c>
      <c r="C429" t="s">
        <v>35</v>
      </c>
      <c r="D429">
        <v>2771.38</v>
      </c>
      <c r="E429">
        <v>14</v>
      </c>
      <c r="F429" t="s">
        <v>45</v>
      </c>
      <c r="G429" t="s">
        <v>29</v>
      </c>
      <c r="H429" t="s">
        <v>15</v>
      </c>
      <c r="I429">
        <v>1</v>
      </c>
    </row>
    <row r="430" spans="1:9" x14ac:dyDescent="0.3">
      <c r="A430" t="s">
        <v>535</v>
      </c>
      <c r="B430" t="s">
        <v>536</v>
      </c>
      <c r="C430" t="s">
        <v>28</v>
      </c>
      <c r="D430">
        <v>1584.43</v>
      </c>
      <c r="E430">
        <v>18</v>
      </c>
      <c r="F430" t="s">
        <v>45</v>
      </c>
      <c r="G430" t="s">
        <v>25</v>
      </c>
      <c r="H430" t="s">
        <v>369</v>
      </c>
      <c r="I430">
        <v>1</v>
      </c>
    </row>
    <row r="431" spans="1:9" x14ac:dyDescent="0.3">
      <c r="A431" t="s">
        <v>283</v>
      </c>
      <c r="B431" t="s">
        <v>284</v>
      </c>
      <c r="C431" t="s">
        <v>35</v>
      </c>
      <c r="D431">
        <v>3321.24</v>
      </c>
      <c r="E431">
        <v>25</v>
      </c>
      <c r="F431" t="s">
        <v>13</v>
      </c>
      <c r="G431" t="s">
        <v>20</v>
      </c>
      <c r="H431" t="s">
        <v>15</v>
      </c>
      <c r="I431">
        <v>0</v>
      </c>
    </row>
    <row r="432" spans="1:9" x14ac:dyDescent="0.3">
      <c r="A432" t="s">
        <v>285</v>
      </c>
      <c r="B432" t="s">
        <v>122</v>
      </c>
      <c r="C432" t="s">
        <v>35</v>
      </c>
      <c r="D432">
        <v>1235.27</v>
      </c>
      <c r="E432">
        <v>14</v>
      </c>
      <c r="F432" t="s">
        <v>13</v>
      </c>
      <c r="G432" t="s">
        <v>14</v>
      </c>
      <c r="H432" t="s">
        <v>15</v>
      </c>
      <c r="I432">
        <v>1</v>
      </c>
    </row>
    <row r="433" spans="1:9" x14ac:dyDescent="0.3">
      <c r="A433" t="s">
        <v>286</v>
      </c>
      <c r="B433" t="s">
        <v>287</v>
      </c>
      <c r="C433" t="s">
        <v>28</v>
      </c>
      <c r="D433">
        <v>4337.6899999999996</v>
      </c>
      <c r="E433">
        <v>5</v>
      </c>
      <c r="F433" t="s">
        <v>36</v>
      </c>
      <c r="G433" t="s">
        <v>25</v>
      </c>
      <c r="H433" t="s">
        <v>15</v>
      </c>
      <c r="I433">
        <v>1</v>
      </c>
    </row>
    <row r="434" spans="1:9" x14ac:dyDescent="0.3">
      <c r="A434" t="s">
        <v>537</v>
      </c>
      <c r="B434" t="s">
        <v>538</v>
      </c>
      <c r="C434" t="s">
        <v>28</v>
      </c>
      <c r="D434">
        <v>4239.1400000000003</v>
      </c>
      <c r="E434">
        <v>16</v>
      </c>
      <c r="F434" t="s">
        <v>13</v>
      </c>
      <c r="G434" t="s">
        <v>58</v>
      </c>
      <c r="H434" t="s">
        <v>369</v>
      </c>
      <c r="I434">
        <v>0</v>
      </c>
    </row>
    <row r="435" spans="1:9" x14ac:dyDescent="0.3">
      <c r="A435" t="s">
        <v>751</v>
      </c>
      <c r="B435" t="s">
        <v>752</v>
      </c>
      <c r="C435" t="s">
        <v>28</v>
      </c>
      <c r="D435">
        <v>1766.05</v>
      </c>
      <c r="E435">
        <v>36</v>
      </c>
      <c r="F435" t="s">
        <v>24</v>
      </c>
      <c r="G435" t="s">
        <v>25</v>
      </c>
      <c r="H435" t="s">
        <v>615</v>
      </c>
      <c r="I435">
        <v>1</v>
      </c>
    </row>
    <row r="436" spans="1:9" x14ac:dyDescent="0.3">
      <c r="A436" t="s">
        <v>539</v>
      </c>
      <c r="B436" t="s">
        <v>540</v>
      </c>
      <c r="C436" t="s">
        <v>35</v>
      </c>
      <c r="D436">
        <v>2432.3000000000002</v>
      </c>
      <c r="E436">
        <v>34</v>
      </c>
      <c r="F436" t="s">
        <v>13</v>
      </c>
      <c r="G436" t="s">
        <v>46</v>
      </c>
      <c r="H436" t="s">
        <v>369</v>
      </c>
      <c r="I436">
        <v>1</v>
      </c>
    </row>
    <row r="437" spans="1:9" x14ac:dyDescent="0.3">
      <c r="A437" t="s">
        <v>288</v>
      </c>
      <c r="B437" t="s">
        <v>289</v>
      </c>
      <c r="C437" t="s">
        <v>12</v>
      </c>
      <c r="D437">
        <v>2141.12</v>
      </c>
      <c r="E437">
        <v>27</v>
      </c>
      <c r="F437" t="s">
        <v>24</v>
      </c>
      <c r="G437" t="s">
        <v>14</v>
      </c>
      <c r="H437" t="s">
        <v>15</v>
      </c>
      <c r="I437">
        <v>0</v>
      </c>
    </row>
    <row r="438" spans="1:9" x14ac:dyDescent="0.3">
      <c r="A438" t="s">
        <v>541</v>
      </c>
      <c r="B438" t="s">
        <v>188</v>
      </c>
      <c r="C438" t="s">
        <v>28</v>
      </c>
      <c r="D438">
        <v>3290.8</v>
      </c>
      <c r="E438">
        <v>42</v>
      </c>
      <c r="F438" t="s">
        <v>49</v>
      </c>
      <c r="G438" t="s">
        <v>20</v>
      </c>
      <c r="H438" t="s">
        <v>369</v>
      </c>
      <c r="I438">
        <v>1</v>
      </c>
    </row>
    <row r="439" spans="1:9" x14ac:dyDescent="0.3">
      <c r="A439" t="s">
        <v>399</v>
      </c>
      <c r="B439" t="s">
        <v>154</v>
      </c>
      <c r="C439" t="s">
        <v>23</v>
      </c>
      <c r="D439">
        <v>1096.9100000000001</v>
      </c>
      <c r="E439">
        <v>50</v>
      </c>
      <c r="F439" t="s">
        <v>45</v>
      </c>
      <c r="G439" t="s">
        <v>29</v>
      </c>
      <c r="H439" t="s">
        <v>369</v>
      </c>
      <c r="I439">
        <v>0</v>
      </c>
    </row>
    <row r="440" spans="1:9" x14ac:dyDescent="0.3">
      <c r="A440" t="s">
        <v>542</v>
      </c>
      <c r="B440" t="s">
        <v>543</v>
      </c>
      <c r="C440" t="s">
        <v>28</v>
      </c>
      <c r="D440">
        <v>1027.3699999999999</v>
      </c>
      <c r="E440">
        <v>9</v>
      </c>
      <c r="F440" t="s">
        <v>49</v>
      </c>
      <c r="G440" t="s">
        <v>46</v>
      </c>
      <c r="H440" t="s">
        <v>369</v>
      </c>
      <c r="I440">
        <v>0</v>
      </c>
    </row>
    <row r="441" spans="1:9" x14ac:dyDescent="0.3">
      <c r="A441" t="s">
        <v>290</v>
      </c>
      <c r="B441" t="s">
        <v>291</v>
      </c>
      <c r="C441" t="s">
        <v>35</v>
      </c>
      <c r="D441">
        <v>3655.76</v>
      </c>
      <c r="E441">
        <v>2</v>
      </c>
      <c r="F441" t="s">
        <v>13</v>
      </c>
      <c r="G441" t="s">
        <v>14</v>
      </c>
      <c r="H441" t="s">
        <v>15</v>
      </c>
      <c r="I441">
        <v>1</v>
      </c>
    </row>
    <row r="442" spans="1:9" x14ac:dyDescent="0.3">
      <c r="A442" t="s">
        <v>544</v>
      </c>
      <c r="B442" t="s">
        <v>545</v>
      </c>
      <c r="C442" t="s">
        <v>28</v>
      </c>
      <c r="D442">
        <v>4670.58</v>
      </c>
      <c r="E442">
        <v>6</v>
      </c>
      <c r="F442" t="s">
        <v>36</v>
      </c>
      <c r="G442" t="s">
        <v>58</v>
      </c>
      <c r="H442" t="s">
        <v>369</v>
      </c>
      <c r="I442">
        <v>0</v>
      </c>
    </row>
    <row r="443" spans="1:9" x14ac:dyDescent="0.3">
      <c r="A443" t="s">
        <v>292</v>
      </c>
      <c r="B443" t="s">
        <v>293</v>
      </c>
      <c r="C443" t="s">
        <v>23</v>
      </c>
      <c r="D443">
        <v>1229.22</v>
      </c>
      <c r="E443">
        <v>6</v>
      </c>
      <c r="F443" t="s">
        <v>24</v>
      </c>
      <c r="G443" t="s">
        <v>25</v>
      </c>
      <c r="H443" t="s">
        <v>15</v>
      </c>
      <c r="I443">
        <v>1</v>
      </c>
    </row>
    <row r="444" spans="1:9" x14ac:dyDescent="0.3">
      <c r="A444" t="s">
        <v>294</v>
      </c>
      <c r="B444" t="s">
        <v>65</v>
      </c>
      <c r="C444" t="s">
        <v>12</v>
      </c>
      <c r="D444">
        <v>457.81</v>
      </c>
      <c r="E444">
        <v>14</v>
      </c>
      <c r="F444" t="s">
        <v>13</v>
      </c>
      <c r="G444" t="s">
        <v>14</v>
      </c>
      <c r="H444" t="s">
        <v>15</v>
      </c>
      <c r="I444">
        <v>0</v>
      </c>
    </row>
    <row r="445" spans="1:9" x14ac:dyDescent="0.3">
      <c r="A445" t="s">
        <v>68</v>
      </c>
      <c r="B445" t="s">
        <v>295</v>
      </c>
      <c r="C445" t="s">
        <v>12</v>
      </c>
      <c r="D445">
        <v>4051.17</v>
      </c>
      <c r="E445">
        <v>37</v>
      </c>
      <c r="F445" t="s">
        <v>13</v>
      </c>
      <c r="G445" t="s">
        <v>20</v>
      </c>
      <c r="H445" t="s">
        <v>15</v>
      </c>
      <c r="I445">
        <v>0</v>
      </c>
    </row>
    <row r="446" spans="1:9" x14ac:dyDescent="0.3">
      <c r="A446" t="s">
        <v>546</v>
      </c>
      <c r="B446" t="s">
        <v>250</v>
      </c>
      <c r="C446" t="s">
        <v>12</v>
      </c>
      <c r="D446">
        <v>4258.8599999999997</v>
      </c>
      <c r="E446">
        <v>32</v>
      </c>
      <c r="F446" t="s">
        <v>49</v>
      </c>
      <c r="G446" t="s">
        <v>14</v>
      </c>
      <c r="H446" t="s">
        <v>369</v>
      </c>
      <c r="I446">
        <v>1</v>
      </c>
    </row>
    <row r="447" spans="1:9" x14ac:dyDescent="0.3">
      <c r="A447" t="s">
        <v>547</v>
      </c>
      <c r="B447" t="s">
        <v>418</v>
      </c>
      <c r="C447" t="s">
        <v>23</v>
      </c>
      <c r="D447">
        <v>3238.99</v>
      </c>
      <c r="E447">
        <v>15</v>
      </c>
      <c r="F447" t="s">
        <v>36</v>
      </c>
      <c r="G447" t="s">
        <v>29</v>
      </c>
      <c r="H447" t="s">
        <v>369</v>
      </c>
      <c r="I447">
        <v>1</v>
      </c>
    </row>
    <row r="448" spans="1:9" x14ac:dyDescent="0.3">
      <c r="A448" t="s">
        <v>296</v>
      </c>
      <c r="B448" t="s">
        <v>297</v>
      </c>
      <c r="C448" t="s">
        <v>23</v>
      </c>
      <c r="D448">
        <v>4151.3900000000003</v>
      </c>
      <c r="E448">
        <v>47</v>
      </c>
      <c r="F448" t="s">
        <v>49</v>
      </c>
      <c r="G448" t="s">
        <v>14</v>
      </c>
      <c r="H448" t="s">
        <v>15</v>
      </c>
      <c r="I448">
        <v>0</v>
      </c>
    </row>
    <row r="449" spans="1:9" x14ac:dyDescent="0.3">
      <c r="A449" t="s">
        <v>753</v>
      </c>
      <c r="B449" t="s">
        <v>754</v>
      </c>
      <c r="C449" t="s">
        <v>23</v>
      </c>
      <c r="D449">
        <v>4714.3900000000003</v>
      </c>
      <c r="E449">
        <v>40</v>
      </c>
      <c r="F449" t="s">
        <v>24</v>
      </c>
      <c r="G449" t="s">
        <v>20</v>
      </c>
      <c r="H449" t="s">
        <v>615</v>
      </c>
      <c r="I449">
        <v>1</v>
      </c>
    </row>
    <row r="450" spans="1:9" x14ac:dyDescent="0.3">
      <c r="A450" t="s">
        <v>298</v>
      </c>
      <c r="B450" t="s">
        <v>299</v>
      </c>
      <c r="C450" t="s">
        <v>23</v>
      </c>
      <c r="D450">
        <v>2880.34</v>
      </c>
      <c r="E450">
        <v>8</v>
      </c>
      <c r="F450" t="s">
        <v>19</v>
      </c>
      <c r="G450" t="s">
        <v>58</v>
      </c>
      <c r="H450" t="s">
        <v>15</v>
      </c>
      <c r="I450">
        <v>0</v>
      </c>
    </row>
    <row r="451" spans="1:9" x14ac:dyDescent="0.3">
      <c r="A451" t="s">
        <v>314</v>
      </c>
      <c r="B451" t="s">
        <v>755</v>
      </c>
      <c r="C451" t="s">
        <v>23</v>
      </c>
      <c r="D451">
        <v>3711.7</v>
      </c>
      <c r="E451">
        <v>8</v>
      </c>
      <c r="F451" t="s">
        <v>13</v>
      </c>
      <c r="G451" t="s">
        <v>25</v>
      </c>
      <c r="H451" t="s">
        <v>615</v>
      </c>
      <c r="I451">
        <v>0</v>
      </c>
    </row>
    <row r="452" spans="1:9" x14ac:dyDescent="0.3">
      <c r="A452" t="s">
        <v>300</v>
      </c>
      <c r="B452" t="s">
        <v>301</v>
      </c>
      <c r="C452" t="s">
        <v>12</v>
      </c>
      <c r="D452">
        <v>1303.6199999999999</v>
      </c>
      <c r="E452">
        <v>19</v>
      </c>
      <c r="F452" t="s">
        <v>13</v>
      </c>
      <c r="G452" t="s">
        <v>25</v>
      </c>
      <c r="H452" t="s">
        <v>15</v>
      </c>
      <c r="I452">
        <v>0</v>
      </c>
    </row>
    <row r="453" spans="1:9" x14ac:dyDescent="0.3">
      <c r="A453" t="s">
        <v>103</v>
      </c>
      <c r="B453" t="s">
        <v>293</v>
      </c>
      <c r="C453" t="s">
        <v>28</v>
      </c>
      <c r="D453">
        <v>2445.44</v>
      </c>
      <c r="E453">
        <v>22</v>
      </c>
      <c r="F453" t="s">
        <v>45</v>
      </c>
      <c r="G453" t="s">
        <v>46</v>
      </c>
      <c r="H453" t="s">
        <v>615</v>
      </c>
      <c r="I453">
        <v>0</v>
      </c>
    </row>
    <row r="454" spans="1:9" x14ac:dyDescent="0.3">
      <c r="A454" t="s">
        <v>456</v>
      </c>
      <c r="B454" t="s">
        <v>756</v>
      </c>
      <c r="C454" t="s">
        <v>23</v>
      </c>
      <c r="D454">
        <v>1157.82</v>
      </c>
      <c r="E454">
        <v>46</v>
      </c>
      <c r="F454" t="s">
        <v>45</v>
      </c>
      <c r="G454" t="s">
        <v>58</v>
      </c>
      <c r="H454" t="s">
        <v>615</v>
      </c>
      <c r="I454">
        <v>1</v>
      </c>
    </row>
    <row r="455" spans="1:9" x14ac:dyDescent="0.3">
      <c r="A455" t="s">
        <v>302</v>
      </c>
      <c r="B455" t="s">
        <v>303</v>
      </c>
      <c r="C455" t="s">
        <v>35</v>
      </c>
      <c r="D455">
        <v>3751.17</v>
      </c>
      <c r="E455">
        <v>4</v>
      </c>
      <c r="F455" t="s">
        <v>36</v>
      </c>
      <c r="G455" t="s">
        <v>46</v>
      </c>
      <c r="H455" t="s">
        <v>15</v>
      </c>
      <c r="I455">
        <v>1</v>
      </c>
    </row>
    <row r="456" spans="1:9" x14ac:dyDescent="0.3">
      <c r="A456" t="s">
        <v>107</v>
      </c>
      <c r="B456" t="s">
        <v>397</v>
      </c>
      <c r="C456" t="s">
        <v>12</v>
      </c>
      <c r="D456">
        <v>1745.65</v>
      </c>
      <c r="E456">
        <v>4</v>
      </c>
      <c r="F456" t="s">
        <v>24</v>
      </c>
      <c r="G456" t="s">
        <v>58</v>
      </c>
      <c r="H456" t="s">
        <v>369</v>
      </c>
      <c r="I456">
        <v>0</v>
      </c>
    </row>
    <row r="457" spans="1:9" x14ac:dyDescent="0.3">
      <c r="A457" t="s">
        <v>304</v>
      </c>
      <c r="B457" t="s">
        <v>231</v>
      </c>
      <c r="C457" t="s">
        <v>23</v>
      </c>
      <c r="D457">
        <v>1197.9000000000001</v>
      </c>
      <c r="E457">
        <v>42</v>
      </c>
      <c r="F457" t="s">
        <v>49</v>
      </c>
      <c r="G457" t="s">
        <v>58</v>
      </c>
      <c r="H457" t="s">
        <v>15</v>
      </c>
      <c r="I457">
        <v>1</v>
      </c>
    </row>
    <row r="458" spans="1:9" x14ac:dyDescent="0.3">
      <c r="A458" t="s">
        <v>97</v>
      </c>
      <c r="B458" t="s">
        <v>305</v>
      </c>
      <c r="C458" t="s">
        <v>35</v>
      </c>
      <c r="D458">
        <v>196.41</v>
      </c>
      <c r="E458">
        <v>8</v>
      </c>
      <c r="F458" t="s">
        <v>19</v>
      </c>
      <c r="G458" t="s">
        <v>25</v>
      </c>
      <c r="H458" t="s">
        <v>15</v>
      </c>
      <c r="I458">
        <v>1</v>
      </c>
    </row>
    <row r="459" spans="1:9" x14ac:dyDescent="0.3">
      <c r="A459" t="s">
        <v>420</v>
      </c>
      <c r="B459" t="s">
        <v>53</v>
      </c>
      <c r="C459" t="s">
        <v>23</v>
      </c>
      <c r="D459">
        <v>1929.66</v>
      </c>
      <c r="E459">
        <v>35</v>
      </c>
      <c r="F459" t="s">
        <v>49</v>
      </c>
      <c r="G459" t="s">
        <v>25</v>
      </c>
      <c r="H459" t="s">
        <v>369</v>
      </c>
      <c r="I459">
        <v>0</v>
      </c>
    </row>
    <row r="460" spans="1:9" x14ac:dyDescent="0.3">
      <c r="A460" t="s">
        <v>757</v>
      </c>
      <c r="B460" t="s">
        <v>744</v>
      </c>
      <c r="C460" t="s">
        <v>35</v>
      </c>
      <c r="D460">
        <v>3636.66</v>
      </c>
      <c r="E460">
        <v>8</v>
      </c>
      <c r="F460" t="s">
        <v>19</v>
      </c>
      <c r="G460" t="s">
        <v>25</v>
      </c>
      <c r="H460" t="s">
        <v>615</v>
      </c>
      <c r="I460">
        <v>0</v>
      </c>
    </row>
    <row r="461" spans="1:9" x14ac:dyDescent="0.3">
      <c r="A461" t="s">
        <v>182</v>
      </c>
      <c r="B461" t="s">
        <v>758</v>
      </c>
      <c r="C461" t="s">
        <v>28</v>
      </c>
      <c r="D461">
        <v>3889.45</v>
      </c>
      <c r="E461">
        <v>11</v>
      </c>
      <c r="F461" t="s">
        <v>36</v>
      </c>
      <c r="G461" t="s">
        <v>29</v>
      </c>
      <c r="H461" t="s">
        <v>615</v>
      </c>
      <c r="I461">
        <v>1</v>
      </c>
    </row>
    <row r="462" spans="1:9" x14ac:dyDescent="0.3">
      <c r="A462" t="s">
        <v>33</v>
      </c>
      <c r="B462" t="s">
        <v>357</v>
      </c>
      <c r="C462" t="s">
        <v>23</v>
      </c>
      <c r="D462">
        <v>4492.3</v>
      </c>
      <c r="E462">
        <v>10</v>
      </c>
      <c r="F462" t="s">
        <v>49</v>
      </c>
      <c r="G462" t="s">
        <v>14</v>
      </c>
      <c r="H462" t="s">
        <v>369</v>
      </c>
      <c r="I462">
        <v>0</v>
      </c>
    </row>
    <row r="463" spans="1:9" x14ac:dyDescent="0.3">
      <c r="A463" t="s">
        <v>542</v>
      </c>
      <c r="B463" t="s">
        <v>532</v>
      </c>
      <c r="C463" t="s">
        <v>28</v>
      </c>
      <c r="D463">
        <v>2274.23</v>
      </c>
      <c r="E463">
        <v>37</v>
      </c>
      <c r="F463" t="s">
        <v>19</v>
      </c>
      <c r="G463" t="s">
        <v>29</v>
      </c>
      <c r="H463" t="s">
        <v>369</v>
      </c>
      <c r="I463">
        <v>1</v>
      </c>
    </row>
    <row r="464" spans="1:9" x14ac:dyDescent="0.3">
      <c r="A464" t="s">
        <v>548</v>
      </c>
      <c r="B464" t="s">
        <v>549</v>
      </c>
      <c r="C464" t="s">
        <v>35</v>
      </c>
      <c r="D464">
        <v>4894.12</v>
      </c>
      <c r="E464">
        <v>18</v>
      </c>
      <c r="F464" t="s">
        <v>36</v>
      </c>
      <c r="G464" t="s">
        <v>29</v>
      </c>
      <c r="H464" t="s">
        <v>369</v>
      </c>
      <c r="I464">
        <v>1</v>
      </c>
    </row>
    <row r="465" spans="1:9" x14ac:dyDescent="0.3">
      <c r="A465" t="s">
        <v>306</v>
      </c>
      <c r="B465" t="s">
        <v>210</v>
      </c>
      <c r="C465" t="s">
        <v>35</v>
      </c>
      <c r="D465">
        <v>65.63</v>
      </c>
      <c r="E465">
        <v>25</v>
      </c>
      <c r="F465" t="s">
        <v>19</v>
      </c>
      <c r="G465" t="s">
        <v>25</v>
      </c>
      <c r="H465" t="s">
        <v>15</v>
      </c>
      <c r="I465">
        <v>1</v>
      </c>
    </row>
    <row r="466" spans="1:9" x14ac:dyDescent="0.3">
      <c r="A466" t="s">
        <v>520</v>
      </c>
      <c r="B466" t="s">
        <v>550</v>
      </c>
      <c r="C466" t="s">
        <v>23</v>
      </c>
      <c r="D466">
        <v>4728.5</v>
      </c>
      <c r="E466">
        <v>28</v>
      </c>
      <c r="F466" t="s">
        <v>45</v>
      </c>
      <c r="G466" t="s">
        <v>14</v>
      </c>
      <c r="H466" t="s">
        <v>369</v>
      </c>
      <c r="I466">
        <v>0</v>
      </c>
    </row>
    <row r="467" spans="1:9" x14ac:dyDescent="0.3">
      <c r="A467" t="s">
        <v>78</v>
      </c>
      <c r="B467" t="s">
        <v>538</v>
      </c>
      <c r="C467" t="s">
        <v>28</v>
      </c>
      <c r="D467">
        <v>272.74</v>
      </c>
      <c r="E467">
        <v>27</v>
      </c>
      <c r="F467" t="s">
        <v>13</v>
      </c>
      <c r="G467" t="s">
        <v>25</v>
      </c>
      <c r="H467" t="s">
        <v>615</v>
      </c>
      <c r="I467">
        <v>0</v>
      </c>
    </row>
    <row r="468" spans="1:9" x14ac:dyDescent="0.3">
      <c r="A468" t="s">
        <v>252</v>
      </c>
      <c r="B468" t="s">
        <v>713</v>
      </c>
      <c r="C468" t="s">
        <v>28</v>
      </c>
      <c r="D468">
        <v>1945.19</v>
      </c>
      <c r="E468">
        <v>19</v>
      </c>
      <c r="F468" t="s">
        <v>45</v>
      </c>
      <c r="G468" t="s">
        <v>25</v>
      </c>
      <c r="H468" t="s">
        <v>615</v>
      </c>
      <c r="I468">
        <v>1</v>
      </c>
    </row>
    <row r="469" spans="1:9" x14ac:dyDescent="0.3">
      <c r="A469" t="s">
        <v>551</v>
      </c>
      <c r="B469" t="s">
        <v>552</v>
      </c>
      <c r="C469" t="s">
        <v>23</v>
      </c>
      <c r="D469">
        <v>686.42</v>
      </c>
      <c r="E469">
        <v>29</v>
      </c>
      <c r="F469" t="s">
        <v>13</v>
      </c>
      <c r="G469" t="s">
        <v>29</v>
      </c>
      <c r="H469" t="s">
        <v>369</v>
      </c>
      <c r="I469">
        <v>1</v>
      </c>
    </row>
    <row r="470" spans="1:9" x14ac:dyDescent="0.3">
      <c r="A470" t="s">
        <v>89</v>
      </c>
      <c r="B470" t="s">
        <v>392</v>
      </c>
      <c r="C470" t="s">
        <v>35</v>
      </c>
      <c r="D470">
        <v>3257.92</v>
      </c>
      <c r="E470">
        <v>45</v>
      </c>
      <c r="F470" t="s">
        <v>19</v>
      </c>
      <c r="G470" t="s">
        <v>14</v>
      </c>
      <c r="H470" t="s">
        <v>615</v>
      </c>
      <c r="I470">
        <v>1</v>
      </c>
    </row>
    <row r="471" spans="1:9" x14ac:dyDescent="0.3">
      <c r="A471" t="s">
        <v>78</v>
      </c>
      <c r="B471" t="s">
        <v>553</v>
      </c>
      <c r="C471" t="s">
        <v>35</v>
      </c>
      <c r="D471">
        <v>4162.63</v>
      </c>
      <c r="E471">
        <v>7</v>
      </c>
      <c r="F471" t="s">
        <v>45</v>
      </c>
      <c r="G471" t="s">
        <v>46</v>
      </c>
      <c r="H471" t="s">
        <v>369</v>
      </c>
      <c r="I471">
        <v>1</v>
      </c>
    </row>
    <row r="472" spans="1:9" x14ac:dyDescent="0.3">
      <c r="A472" t="s">
        <v>178</v>
      </c>
      <c r="B472" t="s">
        <v>124</v>
      </c>
      <c r="C472" t="s">
        <v>12</v>
      </c>
      <c r="D472">
        <v>1452.22</v>
      </c>
      <c r="E472">
        <v>42</v>
      </c>
      <c r="F472" t="s">
        <v>49</v>
      </c>
      <c r="G472" t="s">
        <v>14</v>
      </c>
      <c r="H472" t="s">
        <v>369</v>
      </c>
      <c r="I472">
        <v>0</v>
      </c>
    </row>
    <row r="473" spans="1:9" x14ac:dyDescent="0.3">
      <c r="A473" t="s">
        <v>554</v>
      </c>
      <c r="B473" t="s">
        <v>555</v>
      </c>
      <c r="C473" t="s">
        <v>28</v>
      </c>
      <c r="D473">
        <v>2280.69</v>
      </c>
      <c r="E473">
        <v>22</v>
      </c>
      <c r="F473" t="s">
        <v>49</v>
      </c>
      <c r="G473" t="s">
        <v>20</v>
      </c>
      <c r="H473" t="s">
        <v>369</v>
      </c>
      <c r="I473">
        <v>0</v>
      </c>
    </row>
    <row r="474" spans="1:9" x14ac:dyDescent="0.3">
      <c r="A474" t="s">
        <v>556</v>
      </c>
      <c r="B474" t="s">
        <v>557</v>
      </c>
      <c r="C474" t="s">
        <v>23</v>
      </c>
      <c r="D474">
        <v>923.33</v>
      </c>
      <c r="E474">
        <v>5</v>
      </c>
      <c r="F474" t="s">
        <v>19</v>
      </c>
      <c r="G474" t="s">
        <v>14</v>
      </c>
      <c r="H474" t="s">
        <v>369</v>
      </c>
      <c r="I474">
        <v>0</v>
      </c>
    </row>
    <row r="475" spans="1:9" x14ac:dyDescent="0.3">
      <c r="A475" t="s">
        <v>558</v>
      </c>
      <c r="B475" t="s">
        <v>559</v>
      </c>
      <c r="C475" t="s">
        <v>28</v>
      </c>
      <c r="D475">
        <v>4368.13</v>
      </c>
      <c r="E475">
        <v>7</v>
      </c>
      <c r="F475" t="s">
        <v>49</v>
      </c>
      <c r="G475" t="s">
        <v>25</v>
      </c>
      <c r="H475" t="s">
        <v>369</v>
      </c>
      <c r="I475">
        <v>1</v>
      </c>
    </row>
    <row r="476" spans="1:9" x14ac:dyDescent="0.3">
      <c r="A476" t="s">
        <v>307</v>
      </c>
      <c r="B476" t="s">
        <v>308</v>
      </c>
      <c r="C476" t="s">
        <v>23</v>
      </c>
      <c r="D476">
        <v>4261.2299999999996</v>
      </c>
      <c r="E476">
        <v>6</v>
      </c>
      <c r="F476" t="s">
        <v>45</v>
      </c>
      <c r="G476" t="s">
        <v>20</v>
      </c>
      <c r="H476" t="s">
        <v>15</v>
      </c>
      <c r="I476">
        <v>0</v>
      </c>
    </row>
    <row r="477" spans="1:9" x14ac:dyDescent="0.3">
      <c r="A477" t="s">
        <v>759</v>
      </c>
      <c r="B477" t="s">
        <v>760</v>
      </c>
      <c r="C477" t="s">
        <v>28</v>
      </c>
      <c r="D477">
        <v>2791.04</v>
      </c>
      <c r="E477">
        <v>39</v>
      </c>
      <c r="F477" t="s">
        <v>36</v>
      </c>
      <c r="G477" t="s">
        <v>25</v>
      </c>
      <c r="H477" t="s">
        <v>615</v>
      </c>
      <c r="I477">
        <v>0</v>
      </c>
    </row>
    <row r="478" spans="1:9" x14ac:dyDescent="0.3">
      <c r="A478" t="s">
        <v>729</v>
      </c>
      <c r="B478" t="s">
        <v>761</v>
      </c>
      <c r="C478" t="s">
        <v>35</v>
      </c>
      <c r="D478">
        <v>3165.89</v>
      </c>
      <c r="E478">
        <v>46</v>
      </c>
      <c r="F478" t="s">
        <v>13</v>
      </c>
      <c r="G478" t="s">
        <v>14</v>
      </c>
      <c r="H478" t="s">
        <v>615</v>
      </c>
      <c r="I478">
        <v>0</v>
      </c>
    </row>
    <row r="479" spans="1:9" x14ac:dyDescent="0.3">
      <c r="A479" t="s">
        <v>560</v>
      </c>
      <c r="B479" t="s">
        <v>402</v>
      </c>
      <c r="C479" t="s">
        <v>28</v>
      </c>
      <c r="D479">
        <v>3557.8</v>
      </c>
      <c r="E479">
        <v>30</v>
      </c>
      <c r="F479" t="s">
        <v>13</v>
      </c>
      <c r="G479" t="s">
        <v>20</v>
      </c>
      <c r="H479" t="s">
        <v>369</v>
      </c>
      <c r="I479">
        <v>0</v>
      </c>
    </row>
    <row r="480" spans="1:9" x14ac:dyDescent="0.3">
      <c r="A480" t="s">
        <v>561</v>
      </c>
      <c r="B480" t="s">
        <v>562</v>
      </c>
      <c r="C480" t="s">
        <v>28</v>
      </c>
      <c r="D480">
        <v>3968.68</v>
      </c>
      <c r="E480">
        <v>11</v>
      </c>
      <c r="F480" t="s">
        <v>45</v>
      </c>
      <c r="G480" t="s">
        <v>46</v>
      </c>
      <c r="H480" t="s">
        <v>369</v>
      </c>
      <c r="I480">
        <v>0</v>
      </c>
    </row>
    <row r="481" spans="1:9" x14ac:dyDescent="0.3">
      <c r="A481" t="s">
        <v>762</v>
      </c>
      <c r="B481" t="s">
        <v>511</v>
      </c>
      <c r="C481" t="s">
        <v>23</v>
      </c>
      <c r="D481">
        <v>1183.94</v>
      </c>
      <c r="E481">
        <v>22</v>
      </c>
      <c r="F481" t="s">
        <v>49</v>
      </c>
      <c r="G481" t="s">
        <v>58</v>
      </c>
      <c r="H481" t="s">
        <v>615</v>
      </c>
      <c r="I481">
        <v>0</v>
      </c>
    </row>
    <row r="482" spans="1:9" x14ac:dyDescent="0.3">
      <c r="A482" t="s">
        <v>230</v>
      </c>
      <c r="B482" t="s">
        <v>309</v>
      </c>
      <c r="C482" t="s">
        <v>23</v>
      </c>
      <c r="D482">
        <v>950.29</v>
      </c>
      <c r="E482">
        <v>31</v>
      </c>
      <c r="F482" t="s">
        <v>45</v>
      </c>
      <c r="G482" t="s">
        <v>20</v>
      </c>
      <c r="H482" t="s">
        <v>15</v>
      </c>
      <c r="I482">
        <v>0</v>
      </c>
    </row>
    <row r="483" spans="1:9" x14ac:dyDescent="0.3">
      <c r="A483" t="s">
        <v>268</v>
      </c>
      <c r="B483" t="s">
        <v>742</v>
      </c>
      <c r="C483" t="s">
        <v>28</v>
      </c>
      <c r="D483">
        <v>747.62</v>
      </c>
      <c r="E483">
        <v>4</v>
      </c>
      <c r="F483" t="s">
        <v>49</v>
      </c>
      <c r="G483" t="s">
        <v>25</v>
      </c>
      <c r="H483" t="s">
        <v>615</v>
      </c>
      <c r="I483">
        <v>0</v>
      </c>
    </row>
    <row r="484" spans="1:9" x14ac:dyDescent="0.3">
      <c r="A484" t="s">
        <v>531</v>
      </c>
      <c r="B484" t="s">
        <v>563</v>
      </c>
      <c r="C484" t="s">
        <v>35</v>
      </c>
      <c r="D484">
        <v>566.05999999999995</v>
      </c>
      <c r="E484">
        <v>46</v>
      </c>
      <c r="F484" t="s">
        <v>19</v>
      </c>
      <c r="G484" t="s">
        <v>29</v>
      </c>
      <c r="H484" t="s">
        <v>369</v>
      </c>
      <c r="I484">
        <v>0</v>
      </c>
    </row>
    <row r="485" spans="1:9" x14ac:dyDescent="0.3">
      <c r="A485" t="s">
        <v>91</v>
      </c>
      <c r="B485" t="s">
        <v>310</v>
      </c>
      <c r="C485" t="s">
        <v>35</v>
      </c>
      <c r="D485">
        <v>792.49</v>
      </c>
      <c r="E485">
        <v>16</v>
      </c>
      <c r="F485" t="s">
        <v>19</v>
      </c>
      <c r="G485" t="s">
        <v>20</v>
      </c>
      <c r="H485" t="s">
        <v>15</v>
      </c>
      <c r="I485">
        <v>0</v>
      </c>
    </row>
    <row r="486" spans="1:9" x14ac:dyDescent="0.3">
      <c r="A486" t="s">
        <v>415</v>
      </c>
      <c r="B486" t="s">
        <v>564</v>
      </c>
      <c r="C486" t="s">
        <v>28</v>
      </c>
      <c r="D486">
        <v>2306.44</v>
      </c>
      <c r="E486">
        <v>19</v>
      </c>
      <c r="F486" t="s">
        <v>36</v>
      </c>
      <c r="G486" t="s">
        <v>14</v>
      </c>
      <c r="H486" t="s">
        <v>369</v>
      </c>
      <c r="I486">
        <v>1</v>
      </c>
    </row>
    <row r="487" spans="1:9" x14ac:dyDescent="0.3">
      <c r="A487" t="s">
        <v>70</v>
      </c>
      <c r="B487" t="s">
        <v>311</v>
      </c>
      <c r="C487" t="s">
        <v>23</v>
      </c>
      <c r="D487">
        <v>2197.61</v>
      </c>
      <c r="E487">
        <v>15</v>
      </c>
      <c r="F487" t="s">
        <v>49</v>
      </c>
      <c r="G487" t="s">
        <v>25</v>
      </c>
      <c r="H487" t="s">
        <v>15</v>
      </c>
      <c r="I487">
        <v>1</v>
      </c>
    </row>
    <row r="488" spans="1:9" x14ac:dyDescent="0.3">
      <c r="A488" t="s">
        <v>565</v>
      </c>
      <c r="B488" t="s">
        <v>566</v>
      </c>
      <c r="C488" t="s">
        <v>28</v>
      </c>
      <c r="D488">
        <v>4559.42</v>
      </c>
      <c r="E488">
        <v>14</v>
      </c>
      <c r="F488" t="s">
        <v>49</v>
      </c>
      <c r="G488" t="s">
        <v>46</v>
      </c>
      <c r="H488" t="s">
        <v>369</v>
      </c>
      <c r="I488">
        <v>0</v>
      </c>
    </row>
    <row r="489" spans="1:9" x14ac:dyDescent="0.3">
      <c r="A489" t="s">
        <v>763</v>
      </c>
      <c r="B489" t="s">
        <v>764</v>
      </c>
      <c r="C489" t="s">
        <v>28</v>
      </c>
      <c r="D489">
        <v>135.26</v>
      </c>
      <c r="E489">
        <v>15</v>
      </c>
      <c r="F489" t="s">
        <v>13</v>
      </c>
      <c r="G489" t="s">
        <v>46</v>
      </c>
      <c r="H489" t="s">
        <v>615</v>
      </c>
      <c r="I489">
        <v>0</v>
      </c>
    </row>
    <row r="490" spans="1:9" x14ac:dyDescent="0.3">
      <c r="A490" t="s">
        <v>194</v>
      </c>
      <c r="B490" t="s">
        <v>765</v>
      </c>
      <c r="C490" t="s">
        <v>35</v>
      </c>
      <c r="D490">
        <v>50.36</v>
      </c>
      <c r="E490">
        <v>19</v>
      </c>
      <c r="F490" t="s">
        <v>13</v>
      </c>
      <c r="G490" t="s">
        <v>58</v>
      </c>
      <c r="H490" t="s">
        <v>615</v>
      </c>
      <c r="I490">
        <v>1</v>
      </c>
    </row>
    <row r="491" spans="1:9" x14ac:dyDescent="0.3">
      <c r="A491" t="s">
        <v>558</v>
      </c>
      <c r="B491" t="s">
        <v>766</v>
      </c>
      <c r="C491" t="s">
        <v>12</v>
      </c>
      <c r="D491">
        <v>3994.68</v>
      </c>
      <c r="E491">
        <v>48</v>
      </c>
      <c r="F491" t="s">
        <v>19</v>
      </c>
      <c r="G491" t="s">
        <v>29</v>
      </c>
      <c r="H491" t="s">
        <v>615</v>
      </c>
      <c r="I491">
        <v>0</v>
      </c>
    </row>
    <row r="492" spans="1:9" x14ac:dyDescent="0.3">
      <c r="A492" t="s">
        <v>567</v>
      </c>
      <c r="B492" t="s">
        <v>188</v>
      </c>
      <c r="C492" t="s">
        <v>23</v>
      </c>
      <c r="D492">
        <v>4041.35</v>
      </c>
      <c r="E492">
        <v>17</v>
      </c>
      <c r="F492" t="s">
        <v>49</v>
      </c>
      <c r="G492" t="s">
        <v>14</v>
      </c>
      <c r="H492" t="s">
        <v>369</v>
      </c>
      <c r="I492">
        <v>1</v>
      </c>
    </row>
    <row r="493" spans="1:9" x14ac:dyDescent="0.3">
      <c r="A493" t="s">
        <v>242</v>
      </c>
      <c r="B493" t="s">
        <v>343</v>
      </c>
      <c r="C493" t="s">
        <v>23</v>
      </c>
      <c r="D493">
        <v>2789.71</v>
      </c>
      <c r="E493">
        <v>11</v>
      </c>
      <c r="F493" t="s">
        <v>36</v>
      </c>
      <c r="G493" t="s">
        <v>29</v>
      </c>
      <c r="H493" t="s">
        <v>369</v>
      </c>
      <c r="I493">
        <v>1</v>
      </c>
    </row>
    <row r="494" spans="1:9" x14ac:dyDescent="0.3">
      <c r="A494" t="s">
        <v>568</v>
      </c>
      <c r="B494" t="s">
        <v>287</v>
      </c>
      <c r="C494" t="s">
        <v>35</v>
      </c>
      <c r="D494">
        <v>1624.91</v>
      </c>
      <c r="E494">
        <v>40</v>
      </c>
      <c r="F494" t="s">
        <v>49</v>
      </c>
      <c r="G494" t="s">
        <v>46</v>
      </c>
      <c r="H494" t="s">
        <v>369</v>
      </c>
      <c r="I494">
        <v>0</v>
      </c>
    </row>
    <row r="495" spans="1:9" x14ac:dyDescent="0.3">
      <c r="A495" t="s">
        <v>312</v>
      </c>
      <c r="B495" t="s">
        <v>313</v>
      </c>
      <c r="C495" t="s">
        <v>28</v>
      </c>
      <c r="D495">
        <v>1965.97</v>
      </c>
      <c r="E495">
        <v>15</v>
      </c>
      <c r="F495" t="s">
        <v>13</v>
      </c>
      <c r="G495" t="s">
        <v>25</v>
      </c>
      <c r="H495" t="s">
        <v>15</v>
      </c>
      <c r="I495">
        <v>0</v>
      </c>
    </row>
    <row r="496" spans="1:9" x14ac:dyDescent="0.3">
      <c r="A496" t="s">
        <v>251</v>
      </c>
      <c r="B496" t="s">
        <v>767</v>
      </c>
      <c r="C496" t="s">
        <v>12</v>
      </c>
      <c r="D496">
        <v>3985.62</v>
      </c>
      <c r="E496">
        <v>10</v>
      </c>
      <c r="F496" t="s">
        <v>13</v>
      </c>
      <c r="G496" t="s">
        <v>20</v>
      </c>
      <c r="H496" t="s">
        <v>615</v>
      </c>
      <c r="I496">
        <v>1</v>
      </c>
    </row>
    <row r="497" spans="1:9" x14ac:dyDescent="0.3">
      <c r="A497" t="s">
        <v>437</v>
      </c>
      <c r="B497" t="s">
        <v>569</v>
      </c>
      <c r="C497" t="s">
        <v>35</v>
      </c>
      <c r="D497">
        <v>3468.43</v>
      </c>
      <c r="E497">
        <v>23</v>
      </c>
      <c r="F497" t="s">
        <v>36</v>
      </c>
      <c r="G497" t="s">
        <v>14</v>
      </c>
      <c r="H497" t="s">
        <v>369</v>
      </c>
      <c r="I497">
        <v>1</v>
      </c>
    </row>
    <row r="498" spans="1:9" x14ac:dyDescent="0.3">
      <c r="A498" t="s">
        <v>768</v>
      </c>
      <c r="B498" t="s">
        <v>513</v>
      </c>
      <c r="C498" t="s">
        <v>12</v>
      </c>
      <c r="D498">
        <v>4071.11</v>
      </c>
      <c r="E498">
        <v>33</v>
      </c>
      <c r="F498" t="s">
        <v>13</v>
      </c>
      <c r="G498" t="s">
        <v>46</v>
      </c>
      <c r="H498" t="s">
        <v>615</v>
      </c>
      <c r="I498">
        <v>1</v>
      </c>
    </row>
    <row r="499" spans="1:9" x14ac:dyDescent="0.3">
      <c r="A499" t="s">
        <v>245</v>
      </c>
      <c r="B499" t="s">
        <v>769</v>
      </c>
      <c r="C499" t="s">
        <v>23</v>
      </c>
      <c r="D499">
        <v>3203.44</v>
      </c>
      <c r="E499">
        <v>28</v>
      </c>
      <c r="F499" t="s">
        <v>13</v>
      </c>
      <c r="G499" t="s">
        <v>25</v>
      </c>
      <c r="H499" t="s">
        <v>615</v>
      </c>
      <c r="I499">
        <v>0</v>
      </c>
    </row>
    <row r="500" spans="1:9" x14ac:dyDescent="0.3">
      <c r="A500" t="s">
        <v>570</v>
      </c>
      <c r="B500" t="s">
        <v>571</v>
      </c>
      <c r="C500" t="s">
        <v>12</v>
      </c>
      <c r="D500">
        <v>3145.63</v>
      </c>
      <c r="E500">
        <v>40</v>
      </c>
      <c r="F500" t="s">
        <v>19</v>
      </c>
      <c r="G500" t="s">
        <v>58</v>
      </c>
      <c r="H500" t="s">
        <v>369</v>
      </c>
      <c r="I500">
        <v>0</v>
      </c>
    </row>
    <row r="501" spans="1:9" x14ac:dyDescent="0.3">
      <c r="A501" t="s">
        <v>314</v>
      </c>
      <c r="B501" t="s">
        <v>315</v>
      </c>
      <c r="C501" t="s">
        <v>23</v>
      </c>
      <c r="D501">
        <v>2872.3</v>
      </c>
      <c r="E501">
        <v>9</v>
      </c>
      <c r="F501" t="s">
        <v>49</v>
      </c>
      <c r="G501" t="s">
        <v>58</v>
      </c>
      <c r="H501" t="s">
        <v>15</v>
      </c>
      <c r="I501">
        <v>0</v>
      </c>
    </row>
    <row r="502" spans="1:9" x14ac:dyDescent="0.3">
      <c r="A502" t="s">
        <v>572</v>
      </c>
      <c r="B502" t="s">
        <v>573</v>
      </c>
      <c r="C502" t="s">
        <v>23</v>
      </c>
      <c r="D502">
        <v>4689.46</v>
      </c>
      <c r="E502">
        <v>20</v>
      </c>
      <c r="F502" t="s">
        <v>36</v>
      </c>
      <c r="G502" t="s">
        <v>14</v>
      </c>
      <c r="H502" t="s">
        <v>369</v>
      </c>
      <c r="I502">
        <v>1</v>
      </c>
    </row>
    <row r="503" spans="1:9" x14ac:dyDescent="0.3">
      <c r="A503" t="s">
        <v>574</v>
      </c>
      <c r="B503" t="s">
        <v>575</v>
      </c>
      <c r="C503" t="s">
        <v>23</v>
      </c>
      <c r="D503">
        <v>4216.62</v>
      </c>
      <c r="E503">
        <v>3</v>
      </c>
      <c r="F503" t="s">
        <v>13</v>
      </c>
      <c r="G503" t="s">
        <v>14</v>
      </c>
      <c r="H503" t="s">
        <v>369</v>
      </c>
      <c r="I503">
        <v>0</v>
      </c>
    </row>
    <row r="504" spans="1:9" x14ac:dyDescent="0.3">
      <c r="A504" t="s">
        <v>316</v>
      </c>
      <c r="B504" t="s">
        <v>317</v>
      </c>
      <c r="C504" t="s">
        <v>35</v>
      </c>
      <c r="D504">
        <v>1181.3800000000001</v>
      </c>
      <c r="E504">
        <v>35</v>
      </c>
      <c r="F504" t="s">
        <v>45</v>
      </c>
      <c r="G504" t="s">
        <v>25</v>
      </c>
      <c r="H504" t="s">
        <v>15</v>
      </c>
      <c r="I504">
        <v>0</v>
      </c>
    </row>
    <row r="505" spans="1:9" x14ac:dyDescent="0.3">
      <c r="A505" t="s">
        <v>576</v>
      </c>
      <c r="B505" t="s">
        <v>272</v>
      </c>
      <c r="C505" t="s">
        <v>23</v>
      </c>
      <c r="D505">
        <v>3991.42</v>
      </c>
      <c r="E505">
        <v>12</v>
      </c>
      <c r="F505" t="s">
        <v>49</v>
      </c>
      <c r="G505" t="s">
        <v>29</v>
      </c>
      <c r="H505" t="s">
        <v>369</v>
      </c>
      <c r="I505">
        <v>1</v>
      </c>
    </row>
    <row r="506" spans="1:9" x14ac:dyDescent="0.3">
      <c r="A506" t="s">
        <v>318</v>
      </c>
      <c r="B506" t="s">
        <v>141</v>
      </c>
      <c r="C506" t="s">
        <v>35</v>
      </c>
      <c r="D506">
        <v>2339.6</v>
      </c>
      <c r="E506">
        <v>30</v>
      </c>
      <c r="F506" t="s">
        <v>36</v>
      </c>
      <c r="G506" t="s">
        <v>20</v>
      </c>
      <c r="H506" t="s">
        <v>15</v>
      </c>
      <c r="I506">
        <v>1</v>
      </c>
    </row>
    <row r="507" spans="1:9" x14ac:dyDescent="0.3">
      <c r="A507" t="s">
        <v>37</v>
      </c>
      <c r="B507" t="s">
        <v>747</v>
      </c>
      <c r="C507" t="s">
        <v>35</v>
      </c>
      <c r="D507">
        <v>1130.2</v>
      </c>
      <c r="E507">
        <v>10</v>
      </c>
      <c r="F507" t="s">
        <v>19</v>
      </c>
      <c r="G507" t="s">
        <v>25</v>
      </c>
      <c r="H507" t="s">
        <v>615</v>
      </c>
      <c r="I507">
        <v>1</v>
      </c>
    </row>
    <row r="508" spans="1:9" x14ac:dyDescent="0.3">
      <c r="A508" t="s">
        <v>165</v>
      </c>
      <c r="B508" t="s">
        <v>219</v>
      </c>
      <c r="C508" t="s">
        <v>35</v>
      </c>
      <c r="D508">
        <v>2235.11</v>
      </c>
      <c r="E508">
        <v>12</v>
      </c>
      <c r="F508" t="s">
        <v>19</v>
      </c>
      <c r="G508" t="s">
        <v>58</v>
      </c>
      <c r="H508" t="s">
        <v>615</v>
      </c>
      <c r="I508">
        <v>1</v>
      </c>
    </row>
    <row r="509" spans="1:9" x14ac:dyDescent="0.3">
      <c r="A509" t="s">
        <v>770</v>
      </c>
      <c r="B509" t="s">
        <v>771</v>
      </c>
      <c r="C509" t="s">
        <v>12</v>
      </c>
      <c r="D509">
        <v>297.10000000000002</v>
      </c>
      <c r="E509">
        <v>5</v>
      </c>
      <c r="F509" t="s">
        <v>24</v>
      </c>
      <c r="G509" t="s">
        <v>25</v>
      </c>
      <c r="H509" t="s">
        <v>615</v>
      </c>
      <c r="I509">
        <v>1</v>
      </c>
    </row>
    <row r="510" spans="1:9" x14ac:dyDescent="0.3">
      <c r="A510" t="s">
        <v>144</v>
      </c>
      <c r="B510" t="s">
        <v>577</v>
      </c>
      <c r="C510" t="s">
        <v>12</v>
      </c>
      <c r="D510">
        <v>1483.71</v>
      </c>
      <c r="E510">
        <v>17</v>
      </c>
      <c r="F510" t="s">
        <v>19</v>
      </c>
      <c r="G510" t="s">
        <v>20</v>
      </c>
      <c r="H510" t="s">
        <v>369</v>
      </c>
      <c r="I510">
        <v>0</v>
      </c>
    </row>
    <row r="511" spans="1:9" x14ac:dyDescent="0.3">
      <c r="A511" t="s">
        <v>578</v>
      </c>
      <c r="B511" t="s">
        <v>579</v>
      </c>
      <c r="C511" t="s">
        <v>23</v>
      </c>
      <c r="D511">
        <v>1657.7</v>
      </c>
      <c r="E511">
        <v>17</v>
      </c>
      <c r="F511" t="s">
        <v>24</v>
      </c>
      <c r="G511" t="s">
        <v>25</v>
      </c>
      <c r="H511" t="s">
        <v>369</v>
      </c>
      <c r="I511">
        <v>1</v>
      </c>
    </row>
    <row r="512" spans="1:9" x14ac:dyDescent="0.3">
      <c r="A512" t="s">
        <v>772</v>
      </c>
      <c r="B512" t="s">
        <v>602</v>
      </c>
      <c r="C512" t="s">
        <v>12</v>
      </c>
      <c r="D512">
        <v>4245.03</v>
      </c>
      <c r="E512">
        <v>35</v>
      </c>
      <c r="F512" t="s">
        <v>13</v>
      </c>
      <c r="G512" t="s">
        <v>14</v>
      </c>
      <c r="H512" t="s">
        <v>615</v>
      </c>
      <c r="I512">
        <v>1</v>
      </c>
    </row>
    <row r="513" spans="1:9" x14ac:dyDescent="0.3">
      <c r="A513" t="s">
        <v>319</v>
      </c>
      <c r="B513" t="s">
        <v>211</v>
      </c>
      <c r="C513" t="s">
        <v>28</v>
      </c>
      <c r="D513">
        <v>2142.73</v>
      </c>
      <c r="E513">
        <v>6</v>
      </c>
      <c r="F513" t="s">
        <v>19</v>
      </c>
      <c r="G513" t="s">
        <v>25</v>
      </c>
      <c r="H513" t="s">
        <v>15</v>
      </c>
      <c r="I513">
        <v>0</v>
      </c>
    </row>
    <row r="514" spans="1:9" x14ac:dyDescent="0.3">
      <c r="A514" t="s">
        <v>580</v>
      </c>
      <c r="B514" t="s">
        <v>581</v>
      </c>
      <c r="C514" t="s">
        <v>28</v>
      </c>
      <c r="D514">
        <v>3857.38</v>
      </c>
      <c r="E514">
        <v>36</v>
      </c>
      <c r="F514" t="s">
        <v>45</v>
      </c>
      <c r="G514" t="s">
        <v>58</v>
      </c>
      <c r="H514" t="s">
        <v>369</v>
      </c>
      <c r="I514">
        <v>0</v>
      </c>
    </row>
    <row r="515" spans="1:9" x14ac:dyDescent="0.3">
      <c r="A515" t="s">
        <v>320</v>
      </c>
      <c r="B515" t="s">
        <v>321</v>
      </c>
      <c r="C515" t="s">
        <v>28</v>
      </c>
      <c r="D515">
        <v>1497.98</v>
      </c>
      <c r="E515">
        <v>21</v>
      </c>
      <c r="F515" t="s">
        <v>36</v>
      </c>
      <c r="G515" t="s">
        <v>14</v>
      </c>
      <c r="H515" t="s">
        <v>15</v>
      </c>
      <c r="I515">
        <v>1</v>
      </c>
    </row>
    <row r="516" spans="1:9" x14ac:dyDescent="0.3">
      <c r="A516" t="s">
        <v>33</v>
      </c>
      <c r="B516" t="s">
        <v>773</v>
      </c>
      <c r="C516" t="s">
        <v>23</v>
      </c>
      <c r="D516">
        <v>3231.06</v>
      </c>
      <c r="E516">
        <v>32</v>
      </c>
      <c r="F516" t="s">
        <v>24</v>
      </c>
      <c r="G516" t="s">
        <v>25</v>
      </c>
      <c r="H516" t="s">
        <v>615</v>
      </c>
      <c r="I516">
        <v>0</v>
      </c>
    </row>
    <row r="517" spans="1:9" x14ac:dyDescent="0.3">
      <c r="A517" t="s">
        <v>434</v>
      </c>
      <c r="B517" t="s">
        <v>774</v>
      </c>
      <c r="C517" t="s">
        <v>35</v>
      </c>
      <c r="D517">
        <v>4604.66</v>
      </c>
      <c r="E517">
        <v>17</v>
      </c>
      <c r="F517" t="s">
        <v>19</v>
      </c>
      <c r="G517" t="s">
        <v>29</v>
      </c>
      <c r="H517" t="s">
        <v>615</v>
      </c>
      <c r="I517">
        <v>1</v>
      </c>
    </row>
    <row r="518" spans="1:9" x14ac:dyDescent="0.3">
      <c r="A518" t="s">
        <v>131</v>
      </c>
      <c r="B518" t="s">
        <v>775</v>
      </c>
      <c r="C518" t="s">
        <v>23</v>
      </c>
      <c r="D518">
        <v>4914.41</v>
      </c>
      <c r="E518">
        <v>29</v>
      </c>
      <c r="F518" t="s">
        <v>13</v>
      </c>
      <c r="G518" t="s">
        <v>14</v>
      </c>
      <c r="H518" t="s">
        <v>615</v>
      </c>
      <c r="I518">
        <v>0</v>
      </c>
    </row>
    <row r="519" spans="1:9" x14ac:dyDescent="0.3">
      <c r="A519" t="s">
        <v>582</v>
      </c>
      <c r="B519" t="s">
        <v>583</v>
      </c>
      <c r="C519" t="s">
        <v>23</v>
      </c>
      <c r="D519">
        <v>3342.7</v>
      </c>
      <c r="E519">
        <v>29</v>
      </c>
      <c r="F519" t="s">
        <v>13</v>
      </c>
      <c r="G519" t="s">
        <v>25</v>
      </c>
      <c r="H519" t="s">
        <v>369</v>
      </c>
      <c r="I519">
        <v>1</v>
      </c>
    </row>
    <row r="520" spans="1:9" x14ac:dyDescent="0.3">
      <c r="A520" t="s">
        <v>228</v>
      </c>
      <c r="B520" t="s">
        <v>256</v>
      </c>
      <c r="C520" t="s">
        <v>23</v>
      </c>
      <c r="D520">
        <v>558.91999999999996</v>
      </c>
      <c r="E520">
        <v>31</v>
      </c>
      <c r="F520" t="s">
        <v>49</v>
      </c>
      <c r="G520" t="s">
        <v>46</v>
      </c>
      <c r="H520" t="s">
        <v>615</v>
      </c>
      <c r="I520">
        <v>1</v>
      </c>
    </row>
    <row r="521" spans="1:9" x14ac:dyDescent="0.3">
      <c r="A521" t="s">
        <v>322</v>
      </c>
      <c r="B521" t="s">
        <v>323</v>
      </c>
      <c r="C521" t="s">
        <v>35</v>
      </c>
      <c r="D521">
        <v>2693.75</v>
      </c>
      <c r="E521">
        <v>39</v>
      </c>
      <c r="F521" t="s">
        <v>24</v>
      </c>
      <c r="G521" t="s">
        <v>29</v>
      </c>
      <c r="H521" t="s">
        <v>15</v>
      </c>
      <c r="I521">
        <v>0</v>
      </c>
    </row>
    <row r="522" spans="1:9" x14ac:dyDescent="0.3">
      <c r="A522" t="s">
        <v>324</v>
      </c>
      <c r="B522" t="s">
        <v>325</v>
      </c>
      <c r="C522" t="s">
        <v>35</v>
      </c>
      <c r="D522">
        <v>1685.75</v>
      </c>
      <c r="E522">
        <v>28</v>
      </c>
      <c r="F522" t="s">
        <v>19</v>
      </c>
      <c r="G522" t="s">
        <v>46</v>
      </c>
      <c r="H522" t="s">
        <v>15</v>
      </c>
      <c r="I522">
        <v>1</v>
      </c>
    </row>
    <row r="523" spans="1:9" x14ac:dyDescent="0.3">
      <c r="A523" t="s">
        <v>584</v>
      </c>
      <c r="B523" t="s">
        <v>585</v>
      </c>
      <c r="C523" t="s">
        <v>35</v>
      </c>
      <c r="D523">
        <v>3487.81</v>
      </c>
      <c r="E523">
        <v>10</v>
      </c>
      <c r="F523" t="s">
        <v>19</v>
      </c>
      <c r="G523" t="s">
        <v>25</v>
      </c>
      <c r="H523" t="s">
        <v>369</v>
      </c>
      <c r="I523">
        <v>0</v>
      </c>
    </row>
    <row r="524" spans="1:9" x14ac:dyDescent="0.3">
      <c r="A524" t="s">
        <v>586</v>
      </c>
      <c r="B524" t="s">
        <v>418</v>
      </c>
      <c r="C524" t="s">
        <v>35</v>
      </c>
      <c r="D524">
        <v>4839.76</v>
      </c>
      <c r="E524">
        <v>29</v>
      </c>
      <c r="F524" t="s">
        <v>13</v>
      </c>
      <c r="G524" t="s">
        <v>14</v>
      </c>
      <c r="H524" t="s">
        <v>369</v>
      </c>
      <c r="I524">
        <v>1</v>
      </c>
    </row>
    <row r="525" spans="1:9" x14ac:dyDescent="0.3">
      <c r="A525" t="s">
        <v>62</v>
      </c>
      <c r="B525" t="s">
        <v>326</v>
      </c>
      <c r="C525" t="s">
        <v>23</v>
      </c>
      <c r="D525">
        <v>1359.62</v>
      </c>
      <c r="E525">
        <v>17</v>
      </c>
      <c r="F525" t="s">
        <v>45</v>
      </c>
      <c r="G525" t="s">
        <v>14</v>
      </c>
      <c r="H525" t="s">
        <v>15</v>
      </c>
      <c r="I525">
        <v>0</v>
      </c>
    </row>
    <row r="526" spans="1:9" x14ac:dyDescent="0.3">
      <c r="A526" t="s">
        <v>258</v>
      </c>
      <c r="B526" t="s">
        <v>276</v>
      </c>
      <c r="C526" t="s">
        <v>35</v>
      </c>
      <c r="D526">
        <v>1004.61</v>
      </c>
      <c r="E526">
        <v>4</v>
      </c>
      <c r="F526" t="s">
        <v>13</v>
      </c>
      <c r="G526" t="s">
        <v>29</v>
      </c>
      <c r="H526" t="s">
        <v>15</v>
      </c>
      <c r="I526">
        <v>0</v>
      </c>
    </row>
    <row r="527" spans="1:9" x14ac:dyDescent="0.3">
      <c r="A527" t="s">
        <v>587</v>
      </c>
      <c r="B527" t="s">
        <v>588</v>
      </c>
      <c r="C527" t="s">
        <v>28</v>
      </c>
      <c r="D527">
        <v>2488.85</v>
      </c>
      <c r="E527">
        <v>26</v>
      </c>
      <c r="F527" t="s">
        <v>45</v>
      </c>
      <c r="G527" t="s">
        <v>29</v>
      </c>
      <c r="H527" t="s">
        <v>369</v>
      </c>
      <c r="I527">
        <v>0</v>
      </c>
    </row>
    <row r="528" spans="1:9" x14ac:dyDescent="0.3">
      <c r="A528" t="s">
        <v>327</v>
      </c>
      <c r="B528" t="s">
        <v>328</v>
      </c>
      <c r="C528" t="s">
        <v>23</v>
      </c>
      <c r="D528">
        <v>273.92</v>
      </c>
      <c r="E528">
        <v>47</v>
      </c>
      <c r="F528" t="s">
        <v>13</v>
      </c>
      <c r="G528" t="s">
        <v>25</v>
      </c>
      <c r="H528" t="s">
        <v>15</v>
      </c>
      <c r="I528">
        <v>0</v>
      </c>
    </row>
    <row r="529" spans="1:9" x14ac:dyDescent="0.3">
      <c r="A529" t="s">
        <v>329</v>
      </c>
      <c r="B529" t="s">
        <v>330</v>
      </c>
      <c r="C529" t="s">
        <v>12</v>
      </c>
      <c r="D529">
        <v>3474.58</v>
      </c>
      <c r="E529">
        <v>35</v>
      </c>
      <c r="F529" t="s">
        <v>45</v>
      </c>
      <c r="G529" t="s">
        <v>29</v>
      </c>
      <c r="H529" t="s">
        <v>15</v>
      </c>
      <c r="I529">
        <v>0</v>
      </c>
    </row>
    <row r="530" spans="1:9" x14ac:dyDescent="0.3">
      <c r="A530" t="s">
        <v>364</v>
      </c>
      <c r="B530" t="s">
        <v>589</v>
      </c>
      <c r="C530" t="s">
        <v>12</v>
      </c>
      <c r="D530">
        <v>656.41</v>
      </c>
      <c r="E530">
        <v>4</v>
      </c>
      <c r="F530" t="s">
        <v>45</v>
      </c>
      <c r="G530" t="s">
        <v>20</v>
      </c>
      <c r="H530" t="s">
        <v>369</v>
      </c>
      <c r="I530">
        <v>0</v>
      </c>
    </row>
    <row r="531" spans="1:9" x14ac:dyDescent="0.3">
      <c r="A531" t="s">
        <v>10</v>
      </c>
      <c r="B531" t="s">
        <v>573</v>
      </c>
      <c r="C531" t="s">
        <v>28</v>
      </c>
      <c r="D531">
        <v>4080.5</v>
      </c>
      <c r="E531">
        <v>4</v>
      </c>
      <c r="F531" t="s">
        <v>49</v>
      </c>
      <c r="G531" t="s">
        <v>58</v>
      </c>
      <c r="H531" t="s">
        <v>615</v>
      </c>
      <c r="I531">
        <v>1</v>
      </c>
    </row>
    <row r="532" spans="1:9" x14ac:dyDescent="0.3">
      <c r="A532" t="s">
        <v>37</v>
      </c>
      <c r="B532" t="s">
        <v>776</v>
      </c>
      <c r="C532" t="s">
        <v>35</v>
      </c>
      <c r="D532">
        <v>4994.8599999999997</v>
      </c>
      <c r="E532">
        <v>49</v>
      </c>
      <c r="F532" t="s">
        <v>36</v>
      </c>
      <c r="G532" t="s">
        <v>58</v>
      </c>
      <c r="H532" t="s">
        <v>615</v>
      </c>
      <c r="I532">
        <v>1</v>
      </c>
    </row>
    <row r="533" spans="1:9" x14ac:dyDescent="0.3">
      <c r="A533" t="s">
        <v>331</v>
      </c>
      <c r="B533" t="s">
        <v>128</v>
      </c>
      <c r="C533" t="s">
        <v>12</v>
      </c>
      <c r="D533">
        <v>3328.53</v>
      </c>
      <c r="E533">
        <v>32</v>
      </c>
      <c r="F533" t="s">
        <v>13</v>
      </c>
      <c r="G533" t="s">
        <v>25</v>
      </c>
      <c r="H533" t="s">
        <v>15</v>
      </c>
      <c r="I533">
        <v>0</v>
      </c>
    </row>
    <row r="534" spans="1:9" x14ac:dyDescent="0.3">
      <c r="A534" t="s">
        <v>568</v>
      </c>
      <c r="B534" t="s">
        <v>777</v>
      </c>
      <c r="C534" t="s">
        <v>28</v>
      </c>
      <c r="D534">
        <v>687.14</v>
      </c>
      <c r="E534">
        <v>46</v>
      </c>
      <c r="F534" t="s">
        <v>45</v>
      </c>
      <c r="G534" t="s">
        <v>58</v>
      </c>
      <c r="H534" t="s">
        <v>615</v>
      </c>
      <c r="I534">
        <v>0</v>
      </c>
    </row>
    <row r="535" spans="1:9" x14ac:dyDescent="0.3">
      <c r="A535" t="s">
        <v>665</v>
      </c>
      <c r="B535" t="s">
        <v>418</v>
      </c>
      <c r="C535" t="s">
        <v>28</v>
      </c>
      <c r="D535">
        <v>4824.93</v>
      </c>
      <c r="E535">
        <v>29</v>
      </c>
      <c r="F535" t="s">
        <v>49</v>
      </c>
      <c r="G535" t="s">
        <v>29</v>
      </c>
      <c r="H535" t="s">
        <v>615</v>
      </c>
      <c r="I535">
        <v>0</v>
      </c>
    </row>
    <row r="536" spans="1:9" x14ac:dyDescent="0.3">
      <c r="A536" t="s">
        <v>590</v>
      </c>
      <c r="B536" t="s">
        <v>591</v>
      </c>
      <c r="C536" t="s">
        <v>28</v>
      </c>
      <c r="D536">
        <v>4250.0600000000004</v>
      </c>
      <c r="E536">
        <v>48</v>
      </c>
      <c r="F536" t="s">
        <v>49</v>
      </c>
      <c r="G536" t="s">
        <v>46</v>
      </c>
      <c r="H536" t="s">
        <v>369</v>
      </c>
      <c r="I536">
        <v>1</v>
      </c>
    </row>
    <row r="537" spans="1:9" x14ac:dyDescent="0.3">
      <c r="A537" t="s">
        <v>332</v>
      </c>
      <c r="B537" t="s">
        <v>333</v>
      </c>
      <c r="C537" t="s">
        <v>23</v>
      </c>
      <c r="D537">
        <v>2128.16</v>
      </c>
      <c r="E537">
        <v>39</v>
      </c>
      <c r="F537" t="s">
        <v>13</v>
      </c>
      <c r="G537" t="s">
        <v>58</v>
      </c>
      <c r="H537" t="s">
        <v>15</v>
      </c>
      <c r="I537">
        <v>1</v>
      </c>
    </row>
    <row r="538" spans="1:9" x14ac:dyDescent="0.3">
      <c r="A538" t="s">
        <v>266</v>
      </c>
      <c r="B538" t="s">
        <v>778</v>
      </c>
      <c r="C538" t="s">
        <v>28</v>
      </c>
      <c r="D538">
        <v>3616.62</v>
      </c>
      <c r="E538">
        <v>31</v>
      </c>
      <c r="F538" t="s">
        <v>49</v>
      </c>
      <c r="G538" t="s">
        <v>29</v>
      </c>
      <c r="H538" t="s">
        <v>615</v>
      </c>
      <c r="I538">
        <v>1</v>
      </c>
    </row>
    <row r="539" spans="1:9" x14ac:dyDescent="0.3">
      <c r="A539" t="s">
        <v>592</v>
      </c>
      <c r="B539" t="s">
        <v>593</v>
      </c>
      <c r="C539" t="s">
        <v>12</v>
      </c>
      <c r="D539">
        <v>1131.5999999999999</v>
      </c>
      <c r="E539">
        <v>40</v>
      </c>
      <c r="F539" t="s">
        <v>45</v>
      </c>
      <c r="G539" t="s">
        <v>46</v>
      </c>
      <c r="H539" t="s">
        <v>369</v>
      </c>
      <c r="I539">
        <v>0</v>
      </c>
    </row>
    <row r="540" spans="1:9" x14ac:dyDescent="0.3">
      <c r="A540" t="s">
        <v>396</v>
      </c>
      <c r="B540" t="s">
        <v>232</v>
      </c>
      <c r="C540" t="s">
        <v>23</v>
      </c>
      <c r="D540">
        <v>2176.71</v>
      </c>
      <c r="E540">
        <v>31</v>
      </c>
      <c r="F540" t="s">
        <v>13</v>
      </c>
      <c r="G540" t="s">
        <v>25</v>
      </c>
      <c r="H540" t="s">
        <v>615</v>
      </c>
      <c r="I540">
        <v>0</v>
      </c>
    </row>
    <row r="541" spans="1:9" x14ac:dyDescent="0.3">
      <c r="A541" t="s">
        <v>334</v>
      </c>
      <c r="B541" t="s">
        <v>335</v>
      </c>
      <c r="C541" t="s">
        <v>35</v>
      </c>
      <c r="D541">
        <v>825</v>
      </c>
      <c r="E541">
        <v>49</v>
      </c>
      <c r="F541" t="s">
        <v>19</v>
      </c>
      <c r="G541" t="s">
        <v>20</v>
      </c>
      <c r="H541" t="s">
        <v>15</v>
      </c>
      <c r="I541">
        <v>1</v>
      </c>
    </row>
    <row r="542" spans="1:9" x14ac:dyDescent="0.3">
      <c r="A542" t="s">
        <v>50</v>
      </c>
      <c r="B542" t="s">
        <v>336</v>
      </c>
      <c r="C542" t="s">
        <v>35</v>
      </c>
      <c r="D542">
        <v>1403.87</v>
      </c>
      <c r="E542">
        <v>25</v>
      </c>
      <c r="F542" t="s">
        <v>19</v>
      </c>
      <c r="G542" t="s">
        <v>20</v>
      </c>
      <c r="H542" t="s">
        <v>15</v>
      </c>
      <c r="I542">
        <v>1</v>
      </c>
    </row>
    <row r="543" spans="1:9" x14ac:dyDescent="0.3">
      <c r="A543" t="s">
        <v>731</v>
      </c>
      <c r="B543" t="s">
        <v>350</v>
      </c>
      <c r="C543" t="s">
        <v>23</v>
      </c>
      <c r="D543">
        <v>4861.0600000000004</v>
      </c>
      <c r="E543">
        <v>22</v>
      </c>
      <c r="F543" t="s">
        <v>45</v>
      </c>
      <c r="G543" t="s">
        <v>46</v>
      </c>
      <c r="H543" t="s">
        <v>615</v>
      </c>
      <c r="I543">
        <v>0</v>
      </c>
    </row>
    <row r="544" spans="1:9" x14ac:dyDescent="0.3">
      <c r="A544" t="s">
        <v>294</v>
      </c>
      <c r="B544" t="s">
        <v>703</v>
      </c>
      <c r="C544" t="s">
        <v>12</v>
      </c>
      <c r="D544">
        <v>2126.5300000000002</v>
      </c>
      <c r="E544">
        <v>42</v>
      </c>
      <c r="F544" t="s">
        <v>49</v>
      </c>
      <c r="G544" t="s">
        <v>46</v>
      </c>
      <c r="H544" t="s">
        <v>615</v>
      </c>
      <c r="I544">
        <v>0</v>
      </c>
    </row>
    <row r="545" spans="1:9" x14ac:dyDescent="0.3">
      <c r="A545" t="s">
        <v>337</v>
      </c>
      <c r="B545" t="s">
        <v>276</v>
      </c>
      <c r="C545" t="s">
        <v>23</v>
      </c>
      <c r="D545">
        <v>487.9</v>
      </c>
      <c r="E545">
        <v>11</v>
      </c>
      <c r="F545" t="s">
        <v>24</v>
      </c>
      <c r="G545" t="s">
        <v>46</v>
      </c>
      <c r="H545" t="s">
        <v>15</v>
      </c>
      <c r="I545">
        <v>0</v>
      </c>
    </row>
    <row r="546" spans="1:9" x14ac:dyDescent="0.3">
      <c r="A546" t="s">
        <v>338</v>
      </c>
      <c r="B546" t="s">
        <v>339</v>
      </c>
      <c r="C546" t="s">
        <v>23</v>
      </c>
      <c r="D546">
        <v>3548.46</v>
      </c>
      <c r="E546">
        <v>27</v>
      </c>
      <c r="F546" t="s">
        <v>24</v>
      </c>
      <c r="G546" t="s">
        <v>14</v>
      </c>
      <c r="H546" t="s">
        <v>15</v>
      </c>
      <c r="I546">
        <v>1</v>
      </c>
    </row>
    <row r="547" spans="1:9" x14ac:dyDescent="0.3">
      <c r="A547" t="s">
        <v>594</v>
      </c>
      <c r="B547" t="s">
        <v>377</v>
      </c>
      <c r="C547" t="s">
        <v>35</v>
      </c>
      <c r="D547">
        <v>712.12</v>
      </c>
      <c r="E547">
        <v>38</v>
      </c>
      <c r="F547" t="s">
        <v>24</v>
      </c>
      <c r="G547" t="s">
        <v>29</v>
      </c>
      <c r="H547" t="s">
        <v>369</v>
      </c>
      <c r="I547">
        <v>1</v>
      </c>
    </row>
    <row r="548" spans="1:9" x14ac:dyDescent="0.3">
      <c r="A548" t="s">
        <v>371</v>
      </c>
      <c r="B548" t="s">
        <v>128</v>
      </c>
      <c r="C548" t="s">
        <v>28</v>
      </c>
      <c r="D548">
        <v>1322.84</v>
      </c>
      <c r="E548">
        <v>42</v>
      </c>
      <c r="F548" t="s">
        <v>24</v>
      </c>
      <c r="G548" t="s">
        <v>14</v>
      </c>
      <c r="H548" t="s">
        <v>369</v>
      </c>
      <c r="I548">
        <v>1</v>
      </c>
    </row>
    <row r="549" spans="1:9" x14ac:dyDescent="0.3">
      <c r="A549" t="s">
        <v>595</v>
      </c>
      <c r="B549" t="s">
        <v>336</v>
      </c>
      <c r="C549" t="s">
        <v>28</v>
      </c>
      <c r="D549">
        <v>810.66</v>
      </c>
      <c r="E549">
        <v>3</v>
      </c>
      <c r="F549" t="s">
        <v>45</v>
      </c>
      <c r="G549" t="s">
        <v>20</v>
      </c>
      <c r="H549" t="s">
        <v>369</v>
      </c>
      <c r="I549">
        <v>0</v>
      </c>
    </row>
    <row r="550" spans="1:9" x14ac:dyDescent="0.3">
      <c r="A550" t="s">
        <v>340</v>
      </c>
      <c r="B550" t="s">
        <v>341</v>
      </c>
      <c r="C550" t="s">
        <v>28</v>
      </c>
      <c r="D550">
        <v>3580.38</v>
      </c>
      <c r="E550">
        <v>2</v>
      </c>
      <c r="F550" t="s">
        <v>19</v>
      </c>
      <c r="G550" t="s">
        <v>25</v>
      </c>
      <c r="H550" t="s">
        <v>15</v>
      </c>
      <c r="I550">
        <v>1</v>
      </c>
    </row>
    <row r="551" spans="1:9" x14ac:dyDescent="0.3">
      <c r="A551" t="s">
        <v>332</v>
      </c>
      <c r="B551" t="s">
        <v>199</v>
      </c>
      <c r="C551" t="s">
        <v>12</v>
      </c>
      <c r="D551">
        <v>2126.92</v>
      </c>
      <c r="E551">
        <v>27</v>
      </c>
      <c r="F551" t="s">
        <v>45</v>
      </c>
      <c r="G551" t="s">
        <v>25</v>
      </c>
      <c r="H551" t="s">
        <v>369</v>
      </c>
      <c r="I551">
        <v>0</v>
      </c>
    </row>
    <row r="552" spans="1:9" x14ac:dyDescent="0.3">
      <c r="A552" t="s">
        <v>131</v>
      </c>
      <c r="B552" t="s">
        <v>342</v>
      </c>
      <c r="C552" t="s">
        <v>35</v>
      </c>
      <c r="D552">
        <v>1732.52</v>
      </c>
      <c r="E552">
        <v>6</v>
      </c>
      <c r="F552" t="s">
        <v>45</v>
      </c>
      <c r="G552" t="s">
        <v>20</v>
      </c>
      <c r="H552" t="s">
        <v>15</v>
      </c>
      <c r="I552">
        <v>1</v>
      </c>
    </row>
    <row r="553" spans="1:9" x14ac:dyDescent="0.3">
      <c r="A553" t="s">
        <v>74</v>
      </c>
      <c r="B553" t="s">
        <v>343</v>
      </c>
      <c r="C553" t="s">
        <v>23</v>
      </c>
      <c r="D553">
        <v>1815.71</v>
      </c>
      <c r="E553">
        <v>49</v>
      </c>
      <c r="F553" t="s">
        <v>49</v>
      </c>
      <c r="G553" t="s">
        <v>14</v>
      </c>
      <c r="H553" t="s">
        <v>15</v>
      </c>
      <c r="I553">
        <v>0</v>
      </c>
    </row>
    <row r="554" spans="1:9" x14ac:dyDescent="0.3">
      <c r="A554" t="s">
        <v>596</v>
      </c>
      <c r="B554" t="s">
        <v>597</v>
      </c>
      <c r="C554" t="s">
        <v>12</v>
      </c>
      <c r="D554">
        <v>3385.88</v>
      </c>
      <c r="E554">
        <v>24</v>
      </c>
      <c r="F554" t="s">
        <v>45</v>
      </c>
      <c r="G554" t="s">
        <v>46</v>
      </c>
      <c r="H554" t="s">
        <v>369</v>
      </c>
      <c r="I554">
        <v>1</v>
      </c>
    </row>
    <row r="555" spans="1:9" x14ac:dyDescent="0.3">
      <c r="A555" t="s">
        <v>598</v>
      </c>
      <c r="B555" t="s">
        <v>599</v>
      </c>
      <c r="C555" t="s">
        <v>28</v>
      </c>
      <c r="D555">
        <v>2158.98</v>
      </c>
      <c r="E555">
        <v>31</v>
      </c>
      <c r="F555" t="s">
        <v>13</v>
      </c>
      <c r="G555" t="s">
        <v>29</v>
      </c>
      <c r="H555" t="s">
        <v>369</v>
      </c>
      <c r="I555">
        <v>0</v>
      </c>
    </row>
    <row r="556" spans="1:9" x14ac:dyDescent="0.3">
      <c r="A556" t="s">
        <v>544</v>
      </c>
      <c r="B556" t="s">
        <v>600</v>
      </c>
      <c r="C556" t="s">
        <v>12</v>
      </c>
      <c r="D556">
        <v>1010.46</v>
      </c>
      <c r="E556">
        <v>30</v>
      </c>
      <c r="F556" t="s">
        <v>49</v>
      </c>
      <c r="G556" t="s">
        <v>29</v>
      </c>
      <c r="H556" t="s">
        <v>369</v>
      </c>
      <c r="I556">
        <v>0</v>
      </c>
    </row>
    <row r="557" spans="1:9" x14ac:dyDescent="0.3">
      <c r="A557" t="s">
        <v>344</v>
      </c>
      <c r="B557" t="s">
        <v>345</v>
      </c>
      <c r="C557" t="s">
        <v>12</v>
      </c>
      <c r="D557">
        <v>209.66</v>
      </c>
      <c r="E557">
        <v>34</v>
      </c>
      <c r="F557" t="s">
        <v>19</v>
      </c>
      <c r="G557" t="s">
        <v>58</v>
      </c>
      <c r="H557" t="s">
        <v>15</v>
      </c>
      <c r="I557">
        <v>1</v>
      </c>
    </row>
    <row r="558" spans="1:9" x14ac:dyDescent="0.3">
      <c r="A558" t="s">
        <v>601</v>
      </c>
      <c r="B558" t="s">
        <v>602</v>
      </c>
      <c r="C558" t="s">
        <v>35</v>
      </c>
      <c r="D558">
        <v>2496.85</v>
      </c>
      <c r="E558">
        <v>20</v>
      </c>
      <c r="F558" t="s">
        <v>36</v>
      </c>
      <c r="G558" t="s">
        <v>46</v>
      </c>
      <c r="H558" t="s">
        <v>369</v>
      </c>
      <c r="I558">
        <v>0</v>
      </c>
    </row>
    <row r="559" spans="1:9" x14ac:dyDescent="0.3">
      <c r="A559" t="s">
        <v>271</v>
      </c>
      <c r="B559" t="s">
        <v>346</v>
      </c>
      <c r="C559" t="s">
        <v>28</v>
      </c>
      <c r="D559">
        <v>2282.2199999999998</v>
      </c>
      <c r="E559">
        <v>5</v>
      </c>
      <c r="F559" t="s">
        <v>36</v>
      </c>
      <c r="G559" t="s">
        <v>20</v>
      </c>
      <c r="H559" t="s">
        <v>15</v>
      </c>
      <c r="I559">
        <v>1</v>
      </c>
    </row>
    <row r="560" spans="1:9" x14ac:dyDescent="0.3">
      <c r="A560" t="s">
        <v>347</v>
      </c>
      <c r="B560" t="s">
        <v>348</v>
      </c>
      <c r="C560" t="s">
        <v>35</v>
      </c>
      <c r="D560">
        <v>2939.56</v>
      </c>
      <c r="E560">
        <v>19</v>
      </c>
      <c r="F560" t="s">
        <v>24</v>
      </c>
      <c r="G560" t="s">
        <v>58</v>
      </c>
      <c r="H560" t="s">
        <v>15</v>
      </c>
      <c r="I560">
        <v>0</v>
      </c>
    </row>
    <row r="561" spans="1:9" x14ac:dyDescent="0.3">
      <c r="A561" t="s">
        <v>364</v>
      </c>
      <c r="B561" t="s">
        <v>323</v>
      </c>
      <c r="C561" t="s">
        <v>12</v>
      </c>
      <c r="D561">
        <v>3501.44</v>
      </c>
      <c r="E561">
        <v>23</v>
      </c>
      <c r="F561" t="s">
        <v>13</v>
      </c>
      <c r="G561" t="s">
        <v>58</v>
      </c>
      <c r="H561" t="s">
        <v>369</v>
      </c>
      <c r="I561">
        <v>0</v>
      </c>
    </row>
    <row r="562" spans="1:9" x14ac:dyDescent="0.3">
      <c r="A562" t="s">
        <v>349</v>
      </c>
      <c r="B562" t="s">
        <v>350</v>
      </c>
      <c r="C562" t="s">
        <v>12</v>
      </c>
      <c r="D562">
        <v>4899.55</v>
      </c>
      <c r="E562">
        <v>27</v>
      </c>
      <c r="F562" t="s">
        <v>13</v>
      </c>
      <c r="G562" t="s">
        <v>20</v>
      </c>
      <c r="H562" t="s">
        <v>15</v>
      </c>
      <c r="I562">
        <v>0</v>
      </c>
    </row>
    <row r="563" spans="1:9" x14ac:dyDescent="0.3">
      <c r="A563" t="s">
        <v>456</v>
      </c>
      <c r="B563" t="s">
        <v>260</v>
      </c>
      <c r="C563" t="s">
        <v>28</v>
      </c>
      <c r="D563">
        <v>3932.32</v>
      </c>
      <c r="E563">
        <v>8</v>
      </c>
      <c r="F563" t="s">
        <v>13</v>
      </c>
      <c r="G563" t="s">
        <v>14</v>
      </c>
      <c r="H563" t="s">
        <v>369</v>
      </c>
      <c r="I563">
        <v>0</v>
      </c>
    </row>
    <row r="564" spans="1:9" x14ac:dyDescent="0.3">
      <c r="A564" t="s">
        <v>779</v>
      </c>
      <c r="B564" t="s">
        <v>555</v>
      </c>
      <c r="C564" t="s">
        <v>35</v>
      </c>
      <c r="D564">
        <v>462.18</v>
      </c>
      <c r="E564">
        <v>41</v>
      </c>
      <c r="F564" t="s">
        <v>24</v>
      </c>
      <c r="G564" t="s">
        <v>58</v>
      </c>
      <c r="H564" t="s">
        <v>615</v>
      </c>
      <c r="I564">
        <v>0</v>
      </c>
    </row>
    <row r="565" spans="1:9" x14ac:dyDescent="0.3">
      <c r="A565" t="s">
        <v>351</v>
      </c>
      <c r="B565" t="s">
        <v>201</v>
      </c>
      <c r="C565" t="s">
        <v>28</v>
      </c>
      <c r="D565">
        <v>3992.63</v>
      </c>
      <c r="E565">
        <v>16</v>
      </c>
      <c r="F565" t="s">
        <v>49</v>
      </c>
      <c r="G565" t="s">
        <v>29</v>
      </c>
      <c r="H565" t="s">
        <v>15</v>
      </c>
      <c r="I565">
        <v>0</v>
      </c>
    </row>
    <row r="566" spans="1:9" x14ac:dyDescent="0.3">
      <c r="A566" t="s">
        <v>254</v>
      </c>
      <c r="B566" t="s">
        <v>352</v>
      </c>
      <c r="C566" t="s">
        <v>23</v>
      </c>
      <c r="D566">
        <v>3100.65</v>
      </c>
      <c r="E566">
        <v>36</v>
      </c>
      <c r="F566" t="s">
        <v>36</v>
      </c>
      <c r="G566" t="s">
        <v>14</v>
      </c>
      <c r="H566" t="s">
        <v>15</v>
      </c>
      <c r="I566">
        <v>1</v>
      </c>
    </row>
    <row r="567" spans="1:9" x14ac:dyDescent="0.3">
      <c r="A567" t="s">
        <v>780</v>
      </c>
      <c r="B567" t="s">
        <v>781</v>
      </c>
      <c r="C567" t="s">
        <v>28</v>
      </c>
      <c r="D567">
        <v>3810.15</v>
      </c>
      <c r="E567">
        <v>2</v>
      </c>
      <c r="F567" t="s">
        <v>36</v>
      </c>
      <c r="G567" t="s">
        <v>29</v>
      </c>
      <c r="H567" t="s">
        <v>615</v>
      </c>
      <c r="I567">
        <v>1</v>
      </c>
    </row>
    <row r="568" spans="1:9" x14ac:dyDescent="0.3">
      <c r="A568" t="s">
        <v>782</v>
      </c>
      <c r="B568" t="s">
        <v>783</v>
      </c>
      <c r="C568" t="s">
        <v>23</v>
      </c>
      <c r="D568">
        <v>100.47</v>
      </c>
      <c r="E568">
        <v>38</v>
      </c>
      <c r="F568" t="s">
        <v>36</v>
      </c>
      <c r="G568" t="s">
        <v>14</v>
      </c>
      <c r="H568" t="s">
        <v>615</v>
      </c>
      <c r="I568">
        <v>0</v>
      </c>
    </row>
    <row r="569" spans="1:9" x14ac:dyDescent="0.3">
      <c r="A569" t="s">
        <v>353</v>
      </c>
      <c r="B569" t="s">
        <v>330</v>
      </c>
      <c r="C569" t="s">
        <v>12</v>
      </c>
      <c r="D569">
        <v>213.02</v>
      </c>
      <c r="E569">
        <v>3</v>
      </c>
      <c r="F569" t="s">
        <v>13</v>
      </c>
      <c r="G569" t="s">
        <v>46</v>
      </c>
      <c r="H569" t="s">
        <v>15</v>
      </c>
      <c r="I569">
        <v>0</v>
      </c>
    </row>
    <row r="570" spans="1:9" x14ac:dyDescent="0.3">
      <c r="A570" t="s">
        <v>535</v>
      </c>
      <c r="B570" t="s">
        <v>343</v>
      </c>
      <c r="C570" t="s">
        <v>12</v>
      </c>
      <c r="D570">
        <v>473.83</v>
      </c>
      <c r="E570">
        <v>44</v>
      </c>
      <c r="F570" t="s">
        <v>19</v>
      </c>
      <c r="G570" t="s">
        <v>20</v>
      </c>
      <c r="H570" t="s">
        <v>369</v>
      </c>
      <c r="I570">
        <v>0</v>
      </c>
    </row>
    <row r="571" spans="1:9" x14ac:dyDescent="0.3">
      <c r="A571" t="s">
        <v>582</v>
      </c>
      <c r="B571" t="s">
        <v>697</v>
      </c>
      <c r="C571" t="s">
        <v>35</v>
      </c>
      <c r="D571">
        <v>4329.95</v>
      </c>
      <c r="E571">
        <v>7</v>
      </c>
      <c r="F571" t="s">
        <v>49</v>
      </c>
      <c r="G571" t="s">
        <v>14</v>
      </c>
      <c r="H571" t="s">
        <v>615</v>
      </c>
      <c r="I571">
        <v>0</v>
      </c>
    </row>
    <row r="572" spans="1:9" x14ac:dyDescent="0.3">
      <c r="A572" t="s">
        <v>784</v>
      </c>
      <c r="B572" t="s">
        <v>785</v>
      </c>
      <c r="C572" t="s">
        <v>35</v>
      </c>
      <c r="D572">
        <v>4478.5600000000004</v>
      </c>
      <c r="E572">
        <v>20</v>
      </c>
      <c r="F572" t="s">
        <v>19</v>
      </c>
      <c r="G572" t="s">
        <v>25</v>
      </c>
      <c r="H572" t="s">
        <v>615</v>
      </c>
      <c r="I572">
        <v>1</v>
      </c>
    </row>
    <row r="573" spans="1:9" x14ac:dyDescent="0.3">
      <c r="A573" t="s">
        <v>161</v>
      </c>
      <c r="B573" t="s">
        <v>603</v>
      </c>
      <c r="C573" t="s">
        <v>28</v>
      </c>
      <c r="D573">
        <v>4785.16</v>
      </c>
      <c r="E573">
        <v>12</v>
      </c>
      <c r="F573" t="s">
        <v>36</v>
      </c>
      <c r="G573" t="s">
        <v>46</v>
      </c>
      <c r="H573" t="s">
        <v>369</v>
      </c>
      <c r="I573">
        <v>1</v>
      </c>
    </row>
    <row r="574" spans="1:9" x14ac:dyDescent="0.3">
      <c r="A574" t="s">
        <v>604</v>
      </c>
      <c r="B574" t="s">
        <v>605</v>
      </c>
      <c r="C574" t="s">
        <v>35</v>
      </c>
      <c r="D574">
        <v>1030.79</v>
      </c>
      <c r="E574">
        <v>31</v>
      </c>
      <c r="F574" t="s">
        <v>36</v>
      </c>
      <c r="G574" t="s">
        <v>29</v>
      </c>
      <c r="H574" t="s">
        <v>369</v>
      </c>
      <c r="I574">
        <v>0</v>
      </c>
    </row>
    <row r="575" spans="1:9" x14ac:dyDescent="0.3">
      <c r="A575" t="s">
        <v>354</v>
      </c>
      <c r="B575" t="s">
        <v>204</v>
      </c>
      <c r="C575" t="s">
        <v>35</v>
      </c>
      <c r="D575">
        <v>1590.04</v>
      </c>
      <c r="E575">
        <v>33</v>
      </c>
      <c r="F575" t="s">
        <v>49</v>
      </c>
      <c r="G575" t="s">
        <v>29</v>
      </c>
      <c r="H575" t="s">
        <v>15</v>
      </c>
      <c r="I575">
        <v>1</v>
      </c>
    </row>
    <row r="576" spans="1:9" x14ac:dyDescent="0.3">
      <c r="A576" t="s">
        <v>786</v>
      </c>
      <c r="B576" t="s">
        <v>787</v>
      </c>
      <c r="C576" t="s">
        <v>28</v>
      </c>
      <c r="D576">
        <v>160.38999999999999</v>
      </c>
      <c r="E576">
        <v>44</v>
      </c>
      <c r="F576" t="s">
        <v>19</v>
      </c>
      <c r="G576" t="s">
        <v>20</v>
      </c>
      <c r="H576" t="s">
        <v>615</v>
      </c>
      <c r="I576">
        <v>1</v>
      </c>
    </row>
    <row r="577" spans="1:9" x14ac:dyDescent="0.3">
      <c r="A577" t="s">
        <v>220</v>
      </c>
      <c r="B577" t="s">
        <v>360</v>
      </c>
      <c r="C577" t="s">
        <v>23</v>
      </c>
      <c r="D577">
        <v>4192.37</v>
      </c>
      <c r="E577">
        <v>50</v>
      </c>
      <c r="F577" t="s">
        <v>36</v>
      </c>
      <c r="G577" t="s">
        <v>58</v>
      </c>
      <c r="H577" t="s">
        <v>369</v>
      </c>
      <c r="I577">
        <v>0</v>
      </c>
    </row>
    <row r="578" spans="1:9" x14ac:dyDescent="0.3">
      <c r="A578" t="s">
        <v>551</v>
      </c>
      <c r="B578" t="s">
        <v>606</v>
      </c>
      <c r="C578" t="s">
        <v>35</v>
      </c>
      <c r="D578">
        <v>3915.98</v>
      </c>
      <c r="E578">
        <v>32</v>
      </c>
      <c r="F578" t="s">
        <v>13</v>
      </c>
      <c r="G578" t="s">
        <v>46</v>
      </c>
      <c r="H578" t="s">
        <v>369</v>
      </c>
      <c r="I578">
        <v>0</v>
      </c>
    </row>
    <row r="579" spans="1:9" x14ac:dyDescent="0.3">
      <c r="A579" t="s">
        <v>41</v>
      </c>
      <c r="B579" t="s">
        <v>215</v>
      </c>
      <c r="C579" t="s">
        <v>35</v>
      </c>
      <c r="D579">
        <v>3489.32</v>
      </c>
      <c r="E579">
        <v>48</v>
      </c>
      <c r="F579" t="s">
        <v>13</v>
      </c>
      <c r="G579" t="s">
        <v>46</v>
      </c>
      <c r="H579" t="s">
        <v>15</v>
      </c>
      <c r="I579">
        <v>0</v>
      </c>
    </row>
    <row r="580" spans="1:9" x14ac:dyDescent="0.3">
      <c r="A580" t="s">
        <v>607</v>
      </c>
      <c r="B580" t="s">
        <v>608</v>
      </c>
      <c r="C580" t="s">
        <v>35</v>
      </c>
      <c r="D580">
        <v>3150.45</v>
      </c>
      <c r="E580">
        <v>30</v>
      </c>
      <c r="F580" t="s">
        <v>13</v>
      </c>
      <c r="G580" t="s">
        <v>29</v>
      </c>
      <c r="H580" t="s">
        <v>369</v>
      </c>
      <c r="I580">
        <v>1</v>
      </c>
    </row>
    <row r="581" spans="1:9" x14ac:dyDescent="0.3">
      <c r="A581" t="s">
        <v>609</v>
      </c>
      <c r="B581" t="s">
        <v>297</v>
      </c>
      <c r="C581" t="s">
        <v>23</v>
      </c>
      <c r="D581">
        <v>1862.45</v>
      </c>
      <c r="E581">
        <v>33</v>
      </c>
      <c r="F581" t="s">
        <v>13</v>
      </c>
      <c r="G581" t="s">
        <v>58</v>
      </c>
      <c r="H581" t="s">
        <v>369</v>
      </c>
      <c r="I581">
        <v>0</v>
      </c>
    </row>
    <row r="582" spans="1:9" x14ac:dyDescent="0.3">
      <c r="A582" t="s">
        <v>184</v>
      </c>
      <c r="B582" t="s">
        <v>134</v>
      </c>
      <c r="C582" t="s">
        <v>23</v>
      </c>
      <c r="D582">
        <v>4621.3</v>
      </c>
      <c r="E582">
        <v>50</v>
      </c>
      <c r="F582" t="s">
        <v>13</v>
      </c>
      <c r="G582" t="s">
        <v>46</v>
      </c>
      <c r="H582" t="s">
        <v>15</v>
      </c>
      <c r="I582">
        <v>1</v>
      </c>
    </row>
    <row r="583" spans="1:9" x14ac:dyDescent="0.3">
      <c r="A583" t="s">
        <v>191</v>
      </c>
      <c r="B583" t="s">
        <v>483</v>
      </c>
      <c r="C583" t="s">
        <v>28</v>
      </c>
      <c r="D583">
        <v>2901.09</v>
      </c>
      <c r="E583">
        <v>45</v>
      </c>
      <c r="F583" t="s">
        <v>13</v>
      </c>
      <c r="G583" t="s">
        <v>25</v>
      </c>
      <c r="H583" t="s">
        <v>615</v>
      </c>
      <c r="I583">
        <v>0</v>
      </c>
    </row>
    <row r="584" spans="1:9" x14ac:dyDescent="0.3">
      <c r="A584" t="s">
        <v>355</v>
      </c>
      <c r="B584" t="s">
        <v>339</v>
      </c>
      <c r="C584" t="s">
        <v>28</v>
      </c>
      <c r="D584">
        <v>85.54</v>
      </c>
      <c r="E584">
        <v>50</v>
      </c>
      <c r="F584" t="s">
        <v>36</v>
      </c>
      <c r="G584" t="s">
        <v>46</v>
      </c>
      <c r="H584" t="s">
        <v>15</v>
      </c>
      <c r="I584">
        <v>0</v>
      </c>
    </row>
    <row r="585" spans="1:9" x14ac:dyDescent="0.3">
      <c r="A585" t="s">
        <v>356</v>
      </c>
      <c r="B585" t="s">
        <v>357</v>
      </c>
      <c r="C585" t="s">
        <v>12</v>
      </c>
      <c r="D585">
        <v>4517.6000000000004</v>
      </c>
      <c r="E585">
        <v>18</v>
      </c>
      <c r="F585" t="s">
        <v>13</v>
      </c>
      <c r="G585" t="s">
        <v>20</v>
      </c>
      <c r="H585" t="s">
        <v>15</v>
      </c>
      <c r="I585">
        <v>0</v>
      </c>
    </row>
    <row r="586" spans="1:9" x14ac:dyDescent="0.3">
      <c r="A586" t="s">
        <v>371</v>
      </c>
      <c r="B586" t="s">
        <v>481</v>
      </c>
      <c r="C586" t="s">
        <v>28</v>
      </c>
      <c r="D586">
        <v>4029.32</v>
      </c>
      <c r="E586">
        <v>38</v>
      </c>
      <c r="F586" t="s">
        <v>19</v>
      </c>
      <c r="G586" t="s">
        <v>29</v>
      </c>
      <c r="H586" t="s">
        <v>369</v>
      </c>
      <c r="I586">
        <v>0</v>
      </c>
    </row>
    <row r="587" spans="1:9" x14ac:dyDescent="0.3">
      <c r="A587" t="s">
        <v>788</v>
      </c>
      <c r="B587" t="s">
        <v>789</v>
      </c>
      <c r="C587" t="s">
        <v>23</v>
      </c>
      <c r="D587">
        <v>652.16</v>
      </c>
      <c r="E587">
        <v>38</v>
      </c>
      <c r="F587" t="s">
        <v>36</v>
      </c>
      <c r="G587" t="s">
        <v>46</v>
      </c>
      <c r="H587" t="s">
        <v>615</v>
      </c>
      <c r="I587">
        <v>1</v>
      </c>
    </row>
    <row r="588" spans="1:9" x14ac:dyDescent="0.3">
      <c r="A588" t="s">
        <v>790</v>
      </c>
      <c r="B588" t="s">
        <v>40</v>
      </c>
      <c r="C588" t="s">
        <v>23</v>
      </c>
      <c r="D588">
        <v>2466.7199999999998</v>
      </c>
      <c r="E588">
        <v>14</v>
      </c>
      <c r="F588" t="s">
        <v>45</v>
      </c>
      <c r="G588" t="s">
        <v>14</v>
      </c>
      <c r="H588" t="s">
        <v>615</v>
      </c>
      <c r="I588">
        <v>0</v>
      </c>
    </row>
    <row r="589" spans="1:9" x14ac:dyDescent="0.3">
      <c r="A589" t="s">
        <v>463</v>
      </c>
      <c r="B589" t="s">
        <v>610</v>
      </c>
      <c r="C589" t="s">
        <v>12</v>
      </c>
      <c r="D589">
        <v>4487.1400000000003</v>
      </c>
      <c r="E589">
        <v>50</v>
      </c>
      <c r="F589" t="s">
        <v>49</v>
      </c>
      <c r="G589" t="s">
        <v>20</v>
      </c>
      <c r="H589" t="s">
        <v>369</v>
      </c>
      <c r="I589">
        <v>0</v>
      </c>
    </row>
    <row r="590" spans="1:9" x14ac:dyDescent="0.3">
      <c r="A590" t="s">
        <v>117</v>
      </c>
      <c r="B590" t="s">
        <v>358</v>
      </c>
      <c r="C590" t="s">
        <v>35</v>
      </c>
      <c r="D590">
        <v>3173.58</v>
      </c>
      <c r="E590">
        <v>44</v>
      </c>
      <c r="F590" t="s">
        <v>36</v>
      </c>
      <c r="G590" t="s">
        <v>58</v>
      </c>
      <c r="H590" t="s">
        <v>15</v>
      </c>
      <c r="I590">
        <v>1</v>
      </c>
    </row>
    <row r="591" spans="1:9" x14ac:dyDescent="0.3">
      <c r="A591" t="s">
        <v>791</v>
      </c>
      <c r="B591" t="s">
        <v>528</v>
      </c>
      <c r="C591" t="s">
        <v>12</v>
      </c>
      <c r="D591">
        <v>3360.89</v>
      </c>
      <c r="E591">
        <v>44</v>
      </c>
      <c r="F591" t="s">
        <v>36</v>
      </c>
      <c r="G591" t="s">
        <v>14</v>
      </c>
      <c r="H591" t="s">
        <v>615</v>
      </c>
      <c r="I591">
        <v>0</v>
      </c>
    </row>
    <row r="592" spans="1:9" x14ac:dyDescent="0.3">
      <c r="A592" t="s">
        <v>359</v>
      </c>
      <c r="B592" t="s">
        <v>360</v>
      </c>
      <c r="C592" t="s">
        <v>35</v>
      </c>
      <c r="D592">
        <v>4751.1000000000004</v>
      </c>
      <c r="E592">
        <v>4</v>
      </c>
      <c r="F592" t="s">
        <v>13</v>
      </c>
      <c r="G592" t="s">
        <v>20</v>
      </c>
      <c r="H592" t="s">
        <v>15</v>
      </c>
      <c r="I592">
        <v>1</v>
      </c>
    </row>
    <row r="593" spans="1:9" x14ac:dyDescent="0.3">
      <c r="A593" t="s">
        <v>86</v>
      </c>
      <c r="B593" t="s">
        <v>433</v>
      </c>
      <c r="C593" t="s">
        <v>23</v>
      </c>
      <c r="D593">
        <v>1449.9</v>
      </c>
      <c r="E593">
        <v>46</v>
      </c>
      <c r="F593" t="s">
        <v>19</v>
      </c>
      <c r="G593" t="s">
        <v>58</v>
      </c>
      <c r="H593" t="s">
        <v>369</v>
      </c>
      <c r="I593">
        <v>0</v>
      </c>
    </row>
    <row r="594" spans="1:9" x14ac:dyDescent="0.3">
      <c r="A594" t="s">
        <v>361</v>
      </c>
      <c r="B594" t="s">
        <v>362</v>
      </c>
      <c r="C594" t="s">
        <v>28</v>
      </c>
      <c r="D594">
        <v>2112.9299999999998</v>
      </c>
      <c r="E594">
        <v>43</v>
      </c>
      <c r="F594" t="s">
        <v>36</v>
      </c>
      <c r="G594" t="s">
        <v>58</v>
      </c>
      <c r="H594" t="s">
        <v>15</v>
      </c>
      <c r="I594">
        <v>0</v>
      </c>
    </row>
    <row r="595" spans="1:9" x14ac:dyDescent="0.3">
      <c r="A595" t="s">
        <v>292</v>
      </c>
      <c r="B595" t="s">
        <v>363</v>
      </c>
      <c r="C595" t="s">
        <v>35</v>
      </c>
      <c r="D595">
        <v>2220.0700000000002</v>
      </c>
      <c r="E595">
        <v>4</v>
      </c>
      <c r="F595" t="s">
        <v>24</v>
      </c>
      <c r="G595" t="s">
        <v>58</v>
      </c>
      <c r="H595" t="s">
        <v>15</v>
      </c>
      <c r="I595">
        <v>1</v>
      </c>
    </row>
    <row r="596" spans="1:9" x14ac:dyDescent="0.3">
      <c r="A596" t="s">
        <v>10</v>
      </c>
      <c r="B596" t="s">
        <v>611</v>
      </c>
      <c r="C596" t="s">
        <v>35</v>
      </c>
      <c r="D596">
        <v>2984.88</v>
      </c>
      <c r="E596">
        <v>20</v>
      </c>
      <c r="F596" t="s">
        <v>19</v>
      </c>
      <c r="G596" t="s">
        <v>20</v>
      </c>
      <c r="H596" t="s">
        <v>369</v>
      </c>
      <c r="I596">
        <v>1</v>
      </c>
    </row>
    <row r="597" spans="1:9" x14ac:dyDescent="0.3">
      <c r="A597" t="s">
        <v>364</v>
      </c>
      <c r="B597" t="s">
        <v>365</v>
      </c>
      <c r="C597" t="s">
        <v>23</v>
      </c>
      <c r="D597">
        <v>3801.61</v>
      </c>
      <c r="E597">
        <v>10</v>
      </c>
      <c r="F597" t="s">
        <v>49</v>
      </c>
      <c r="G597" t="s">
        <v>25</v>
      </c>
      <c r="H597" t="s">
        <v>15</v>
      </c>
      <c r="I597">
        <v>1</v>
      </c>
    </row>
    <row r="598" spans="1:9" x14ac:dyDescent="0.3">
      <c r="A598" t="s">
        <v>612</v>
      </c>
      <c r="B598" t="s">
        <v>593</v>
      </c>
      <c r="C598" t="s">
        <v>28</v>
      </c>
      <c r="D598">
        <v>4835.45</v>
      </c>
      <c r="E598">
        <v>49</v>
      </c>
      <c r="F598" t="s">
        <v>45</v>
      </c>
      <c r="G598" t="s">
        <v>58</v>
      </c>
      <c r="H598" t="s">
        <v>369</v>
      </c>
      <c r="I598">
        <v>0</v>
      </c>
    </row>
    <row r="599" spans="1:9" x14ac:dyDescent="0.3">
      <c r="A599" t="s">
        <v>228</v>
      </c>
      <c r="B599" t="s">
        <v>366</v>
      </c>
      <c r="C599" t="s">
        <v>28</v>
      </c>
      <c r="D599">
        <v>3765.92</v>
      </c>
      <c r="E599">
        <v>7</v>
      </c>
      <c r="F599" t="s">
        <v>19</v>
      </c>
      <c r="G599" t="s">
        <v>58</v>
      </c>
      <c r="H599" t="s">
        <v>15</v>
      </c>
      <c r="I599">
        <v>1</v>
      </c>
    </row>
    <row r="600" spans="1:9" x14ac:dyDescent="0.3">
      <c r="A600" t="s">
        <v>584</v>
      </c>
      <c r="B600" t="s">
        <v>613</v>
      </c>
      <c r="C600" t="s">
        <v>28</v>
      </c>
      <c r="D600">
        <v>93.55</v>
      </c>
      <c r="E600">
        <v>46</v>
      </c>
      <c r="F600" t="s">
        <v>19</v>
      </c>
      <c r="G600" t="s">
        <v>25</v>
      </c>
      <c r="H600" t="s">
        <v>369</v>
      </c>
      <c r="I600">
        <v>0</v>
      </c>
    </row>
    <row r="601" spans="1:9" x14ac:dyDescent="0.3">
      <c r="A601" t="s">
        <v>320</v>
      </c>
      <c r="B601" t="s">
        <v>51</v>
      </c>
      <c r="C601" t="s">
        <v>28</v>
      </c>
      <c r="D601">
        <v>3691.14</v>
      </c>
      <c r="E601">
        <v>32</v>
      </c>
      <c r="F601" t="s">
        <v>36</v>
      </c>
      <c r="G601" t="s">
        <v>14</v>
      </c>
      <c r="H601" t="s">
        <v>15</v>
      </c>
      <c r="I60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3022-7315-4217-8668-634E8295948E}">
  <dimension ref="A1:B4"/>
  <sheetViews>
    <sheetView workbookViewId="0">
      <selection activeCell="B2" sqref="B2"/>
    </sheetView>
  </sheetViews>
  <sheetFormatPr defaultRowHeight="14.4" x14ac:dyDescent="0.3"/>
  <cols>
    <col min="1" max="1" width="11" customWidth="1"/>
    <col min="2" max="2" width="10.109375" customWidth="1"/>
  </cols>
  <sheetData>
    <row r="1" spans="1:2" ht="28.8" x14ac:dyDescent="0.3">
      <c r="A1" s="6" t="s">
        <v>7</v>
      </c>
      <c r="B1" s="6" t="s">
        <v>798</v>
      </c>
    </row>
    <row r="2" spans="1:2" x14ac:dyDescent="0.3">
      <c r="A2" s="7" t="s">
        <v>15</v>
      </c>
      <c r="B2" s="8">
        <v>1</v>
      </c>
    </row>
    <row r="3" spans="1:2" x14ac:dyDescent="0.3">
      <c r="A3" s="7" t="s">
        <v>615</v>
      </c>
      <c r="B3" s="8">
        <v>2</v>
      </c>
    </row>
    <row r="4" spans="1:2" x14ac:dyDescent="0.3">
      <c r="A4" s="7" t="s">
        <v>369</v>
      </c>
      <c r="B4" s="8">
        <v>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68E59F9F-B671-4D8A-A8BD-D561B00A38B9}">
  <ds:schemaRefs/>
</ds:datastoreItem>
</file>

<file path=customXml/itemProps2.xml><?xml version="1.0" encoding="utf-8"?>
<ds:datastoreItem xmlns:ds="http://schemas.openxmlformats.org/officeDocument/2006/customXml" ds:itemID="{B77B825E-F909-490C-B63A-33E569564446}">
  <ds:schemaRefs/>
</ds:datastoreItem>
</file>

<file path=customXml/itemProps3.xml><?xml version="1.0" encoding="utf-8"?>
<ds:datastoreItem xmlns:ds="http://schemas.openxmlformats.org/officeDocument/2006/customXml" ds:itemID="{1B1D328C-688C-4192-BEB7-17DC890305E1}">
  <ds:schemaRefs/>
</ds:datastoreItem>
</file>

<file path=customXml/itemProps4.xml><?xml version="1.0" encoding="utf-8"?>
<ds:datastoreItem xmlns:ds="http://schemas.openxmlformats.org/officeDocument/2006/customXml" ds:itemID="{98A37806-DBC8-4AF7-807E-EFC406BD4EAF}">
  <ds:schemaRefs/>
</ds:datastoreItem>
</file>

<file path=customXml/itemProps5.xml><?xml version="1.0" encoding="utf-8"?>
<ds:datastoreItem xmlns:ds="http://schemas.openxmlformats.org/officeDocument/2006/customXml" ds:itemID="{EAAE3CD6-0497-42E7-82EF-B0A29F844370}">
  <ds:schemaRefs/>
</ds:datastoreItem>
</file>

<file path=customXml/itemProps6.xml><?xml version="1.0" encoding="utf-8"?>
<ds:datastoreItem xmlns:ds="http://schemas.openxmlformats.org/officeDocument/2006/customXml" ds:itemID="{7A8F64DA-83A8-46ED-8309-1357A64CA19B}">
  <ds:schemaRefs/>
</ds:datastoreItem>
</file>

<file path=customXml/itemProps7.xml><?xml version="1.0" encoding="utf-8"?>
<ds:datastoreItem xmlns:ds="http://schemas.openxmlformats.org/officeDocument/2006/customXml" ds:itemID="{16246288-38CB-4E8E-8336-027CF0E97AF0}">
  <ds:schemaRefs/>
</ds:datastoreItem>
</file>

<file path=customXml/itemProps8.xml><?xml version="1.0" encoding="utf-8"?>
<ds:datastoreItem xmlns:ds="http://schemas.openxmlformats.org/officeDocument/2006/customXml" ds:itemID="{3CDC4A34-07D9-4464-A63D-454E070A7191}">
  <ds:schemaRefs/>
</ds:datastoreItem>
</file>

<file path=customXml/itemProps9.xml><?xml version="1.0" encoding="utf-8"?>
<ds:datastoreItem xmlns:ds="http://schemas.openxmlformats.org/officeDocument/2006/customXml" ds:itemID="{18B35DF8-E9A1-43C9-ADEE-EAAC87733D15}">
  <ds:schemaRefs/>
</ds:datastoreItem>
</file>

<file path=customXml/itemProps10.xml><?xml version="1.0" encoding="utf-8"?>
<ds:datastoreItem xmlns:ds="http://schemas.openxmlformats.org/officeDocument/2006/customXml" ds:itemID="{1F238078-D6FC-4E32-84C1-84C2B0776CA6}">
  <ds:schemaRefs/>
</ds:datastoreItem>
</file>

<file path=customXml/itemProps11.xml><?xml version="1.0" encoding="utf-8"?>
<ds:datastoreItem xmlns:ds="http://schemas.openxmlformats.org/officeDocument/2006/customXml" ds:itemID="{410BB5FC-FE03-4D29-AD51-9E83FF428544}">
  <ds:schemaRefs/>
</ds:datastoreItem>
</file>

<file path=customXml/itemProps12.xml><?xml version="1.0" encoding="utf-8"?>
<ds:datastoreItem xmlns:ds="http://schemas.openxmlformats.org/officeDocument/2006/customXml" ds:itemID="{40AA4F0E-59F7-40DA-ADE7-12B9FC86860E}">
  <ds:schemaRefs/>
</ds:datastoreItem>
</file>

<file path=customXml/itemProps13.xml><?xml version="1.0" encoding="utf-8"?>
<ds:datastoreItem xmlns:ds="http://schemas.openxmlformats.org/officeDocument/2006/customXml" ds:itemID="{29FFC031-3342-46A2-B469-DAA33BEA2F9E}">
  <ds:schemaRefs/>
</ds:datastoreItem>
</file>

<file path=customXml/itemProps14.xml><?xml version="1.0" encoding="utf-8"?>
<ds:datastoreItem xmlns:ds="http://schemas.openxmlformats.org/officeDocument/2006/customXml" ds:itemID="{FFFC178B-C0BD-4A4D-976F-01F9A09BEF86}">
  <ds:schemaRefs/>
</ds:datastoreItem>
</file>

<file path=customXml/itemProps15.xml><?xml version="1.0" encoding="utf-8"?>
<ds:datastoreItem xmlns:ds="http://schemas.openxmlformats.org/officeDocument/2006/customXml" ds:itemID="{6633C7A6-4510-4446-879B-A17AD40735D1}">
  <ds:schemaRefs/>
</ds:datastoreItem>
</file>

<file path=customXml/itemProps16.xml><?xml version="1.0" encoding="utf-8"?>
<ds:datastoreItem xmlns:ds="http://schemas.openxmlformats.org/officeDocument/2006/customXml" ds:itemID="{814870E1-D8DE-4DE1-A4EF-24B4BDAD49B1}">
  <ds:schemaRefs>
    <ds:schemaRef ds:uri="http://schemas.microsoft.com/DataMashup"/>
  </ds:schemaRefs>
</ds:datastoreItem>
</file>

<file path=customXml/itemProps17.xml><?xml version="1.0" encoding="utf-8"?>
<ds:datastoreItem xmlns:ds="http://schemas.openxmlformats.org/officeDocument/2006/customXml" ds:itemID="{886CFEC3-0723-47B5-8542-81BB31BCA694}">
  <ds:schemaRefs/>
</ds:datastoreItem>
</file>

<file path=customXml/itemProps18.xml><?xml version="1.0" encoding="utf-8"?>
<ds:datastoreItem xmlns:ds="http://schemas.openxmlformats.org/officeDocument/2006/customXml" ds:itemID="{0B8631C6-52DA-42CA-AE95-9E6C607ABB01}">
  <ds:schemaRefs/>
</ds:datastoreItem>
</file>

<file path=customXml/itemProps19.xml><?xml version="1.0" encoding="utf-8"?>
<ds:datastoreItem xmlns:ds="http://schemas.openxmlformats.org/officeDocument/2006/customXml" ds:itemID="{546FE6E0-1C4A-4F5A-9E1B-1D46F65EE0C7}">
  <ds:schemaRefs/>
</ds:datastoreItem>
</file>

<file path=customXml/itemProps20.xml><?xml version="1.0" encoding="utf-8"?>
<ds:datastoreItem xmlns:ds="http://schemas.openxmlformats.org/officeDocument/2006/customXml" ds:itemID="{390EE881-4938-4C0E-95BA-311B578EE06E}">
  <ds:schemaRefs/>
</ds:datastoreItem>
</file>

<file path=customXml/itemProps21.xml><?xml version="1.0" encoding="utf-8"?>
<ds:datastoreItem xmlns:ds="http://schemas.openxmlformats.org/officeDocument/2006/customXml" ds:itemID="{795E62D7-D3DE-4EB6-A5BE-633F2E21FF23}">
  <ds:schemaRefs/>
</ds:datastoreItem>
</file>

<file path=customXml/itemProps22.xml><?xml version="1.0" encoding="utf-8"?>
<ds:datastoreItem xmlns:ds="http://schemas.openxmlformats.org/officeDocument/2006/customXml" ds:itemID="{C5F0249C-79D9-4E54-B9A0-EB8757FB37F8}">
  <ds:schemaRefs/>
</ds:datastoreItem>
</file>

<file path=customXml/itemProps23.xml><?xml version="1.0" encoding="utf-8"?>
<ds:datastoreItem xmlns:ds="http://schemas.openxmlformats.org/officeDocument/2006/customXml" ds:itemID="{BFB2CD95-DE37-4A8E-91EC-9A5C2B29EDDC}">
  <ds:schemaRefs/>
</ds:datastoreItem>
</file>

<file path=customXml/itemProps24.xml><?xml version="1.0" encoding="utf-8"?>
<ds:datastoreItem xmlns:ds="http://schemas.openxmlformats.org/officeDocument/2006/customXml" ds:itemID="{D0BAB9E8-FC82-4589-84C0-6F0F3FAE4203}">
  <ds:schemaRefs/>
</ds:datastoreItem>
</file>

<file path=customXml/itemProps25.xml><?xml version="1.0" encoding="utf-8"?>
<ds:datastoreItem xmlns:ds="http://schemas.openxmlformats.org/officeDocument/2006/customXml" ds:itemID="{E5FF9AD7-8BD9-4FFB-9AC1-0C241DD570AE}">
  <ds:schemaRefs/>
</ds:datastoreItem>
</file>

<file path=customXml/itemProps26.xml><?xml version="1.0" encoding="utf-8"?>
<ds:datastoreItem xmlns:ds="http://schemas.openxmlformats.org/officeDocument/2006/customXml" ds:itemID="{32960CE2-53BF-4C79-94D0-E3A65BE08BBC}">
  <ds:schemaRefs/>
</ds:datastoreItem>
</file>

<file path=customXml/itemProps27.xml><?xml version="1.0" encoding="utf-8"?>
<ds:datastoreItem xmlns:ds="http://schemas.openxmlformats.org/officeDocument/2006/customXml" ds:itemID="{8D047AB2-1C09-4BE0-B133-AC641BF6437C}">
  <ds:schemaRefs/>
</ds:datastoreItem>
</file>

<file path=customXml/itemProps28.xml><?xml version="1.0" encoding="utf-8"?>
<ds:datastoreItem xmlns:ds="http://schemas.openxmlformats.org/officeDocument/2006/customXml" ds:itemID="{5CFD1E48-227D-430B-822D-72331A24CB62}">
  <ds:schemaRefs/>
</ds:datastoreItem>
</file>

<file path=customXml/itemProps29.xml><?xml version="1.0" encoding="utf-8"?>
<ds:datastoreItem xmlns:ds="http://schemas.openxmlformats.org/officeDocument/2006/customXml" ds:itemID="{A8A85999-C679-4686-A808-7CD66C271A19}">
  <ds:schemaRefs/>
</ds:datastoreItem>
</file>

<file path=customXml/itemProps30.xml><?xml version="1.0" encoding="utf-8"?>
<ds:datastoreItem xmlns:ds="http://schemas.openxmlformats.org/officeDocument/2006/customXml" ds:itemID="{5AFBD6EC-AFAE-48C6-B70F-26ED80BD3102}">
  <ds:schemaRefs/>
</ds:datastoreItem>
</file>

<file path=customXml/itemProps31.xml><?xml version="1.0" encoding="utf-8"?>
<ds:datastoreItem xmlns:ds="http://schemas.openxmlformats.org/officeDocument/2006/customXml" ds:itemID="{DD9BD49A-5F9D-4282-BF6C-C7EC6F344FD3}">
  <ds:schemaRefs/>
</ds:datastoreItem>
</file>

<file path=customXml/itemProps32.xml><?xml version="1.0" encoding="utf-8"?>
<ds:datastoreItem xmlns:ds="http://schemas.openxmlformats.org/officeDocument/2006/customXml" ds:itemID="{AF6D934F-BBD3-40FB-82BB-321A21E34E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PivotBase</vt:lpstr>
      <vt:lpstr>Overview</vt:lpstr>
      <vt:lpstr>Dashboard</vt:lpstr>
      <vt:lpstr>Detailed Summary</vt:lpstr>
      <vt:lpstr>Clean Dataset</vt:lpstr>
      <vt:lpstr>card_risk_analysis_dataset</vt:lpstr>
      <vt:lpstr>Risk Sort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2025-09-10T08:40:51Z</dcterms:created>
  <dcterms:modified xsi:type="dcterms:W3CDTF">2025-09-15T11:22:15Z</dcterms:modified>
</cp:coreProperties>
</file>